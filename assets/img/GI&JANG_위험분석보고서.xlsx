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user\Desktop\GI&amp;JANG\"/>
    </mc:Choice>
  </mc:AlternateContent>
  <xr:revisionPtr revIDLastSave="0" documentId="13_ncr:1_{8E8627E8-73E7-4DF1-89BA-253A899542E0}" xr6:coauthVersionLast="47" xr6:coauthVersionMax="47" xr10:uidLastSave="{00000000-0000-0000-0000-000000000000}"/>
  <bookViews>
    <workbookView xWindow="-120" yWindow="-120" windowWidth="29040" windowHeight="15720" xr2:uid="{00000000-000D-0000-FFFF-FFFF00000000}"/>
  </bookViews>
  <sheets>
    <sheet name="표지" sheetId="1" r:id="rId1"/>
    <sheet name="정보자산" sheetId="2" r:id="rId2"/>
    <sheet name="시스템자산" sheetId="3" r:id="rId3"/>
    <sheet name="단말자산" sheetId="7" r:id="rId4"/>
    <sheet name="외부&amp;인적자산" sheetId="5" r:id="rId5"/>
    <sheet name="공개정보" sheetId="6" r:id="rId6"/>
    <sheet name="물리자산" sheetId="10" r:id="rId7"/>
    <sheet name="자산별 위험식별" sheetId="11" r:id="rId8"/>
    <sheet name="위험처리방안" sheetId="13" r:id="rId9"/>
    <sheet name="ISMS-P GAP 분석보고서" sheetId="14" r:id="rId10"/>
    <sheet name="사고시나리오_랜섬웨어_DB중단" sheetId="15" r:id="rId11"/>
    <sheet name="사고시나리오_개인정보_오남용" sheetId="16" r:id="rId12"/>
    <sheet name="(별지)위험도 평가방법론" sheetId="9" r:id="rId13"/>
    <sheet name="(별지)정보자산별 개인정보 세부 항목" sheetId="8" r:id="rId1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 i="13" l="1"/>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 i="13"/>
  <c r="J4" i="10"/>
  <c r="J3" i="10"/>
  <c r="J3" i="6"/>
  <c r="J4" i="5"/>
  <c r="J3" i="5"/>
  <c r="L7" i="7"/>
  <c r="L6" i="7"/>
  <c r="L5" i="7"/>
  <c r="L4" i="7"/>
  <c r="L3" i="7"/>
  <c r="J7" i="2"/>
  <c r="J6" i="2"/>
  <c r="J5" i="2"/>
  <c r="J4" i="2"/>
  <c r="J3" i="2"/>
  <c r="K4" i="3"/>
  <c r="K5" i="3"/>
  <c r="K6" i="3"/>
  <c r="K7" i="3"/>
  <c r="K3" i="3"/>
</calcChain>
</file>

<file path=xl/sharedStrings.xml><?xml version="1.0" encoding="utf-8"?>
<sst xmlns="http://schemas.openxmlformats.org/spreadsheetml/2006/main" count="796" uniqueCount="433">
  <si>
    <t>번호</t>
  </si>
  <si>
    <t>자산명</t>
  </si>
  <si>
    <t>자산유형</t>
  </si>
  <si>
    <t>자산 설명</t>
  </si>
  <si>
    <t>정보자산 등급</t>
  </si>
  <si>
    <t>분류 근거</t>
  </si>
  <si>
    <t>회원 개인정보 DB</t>
  </si>
  <si>
    <t>정보자산(개인정보)</t>
  </si>
  <si>
    <t>회원 이름, 이메일, 연락처 저장</t>
  </si>
  <si>
    <t>1등급 (Top Secret)</t>
  </si>
  <si>
    <t>개인정보 유출 시 막대한 법적·신뢰 손실</t>
  </si>
  <si>
    <t>기업 고객 계정 정보</t>
  </si>
  <si>
    <t>계약·신뢰도에 중대한 영향</t>
  </si>
  <si>
    <t>인증 정보</t>
  </si>
  <si>
    <t>정보자산(보안정보)</t>
  </si>
  <si>
    <t>비밀번호 해시, 세션 정보</t>
  </si>
  <si>
    <t>계정 탈취 및 시스템 침해 가능</t>
  </si>
  <si>
    <t>백업 데이터</t>
  </si>
  <si>
    <t>정보자산(백업)</t>
  </si>
  <si>
    <t>DB 및 설정 백업 파일</t>
  </si>
  <si>
    <t>원본 데이터 포함</t>
  </si>
  <si>
    <t>서비스 로그 데이터</t>
  </si>
  <si>
    <t>정보자산(운영정보)</t>
  </si>
  <si>
    <t>접속·행위 로그</t>
  </si>
  <si>
    <t>3등급 (Internal Use)</t>
  </si>
  <si>
    <t>내부 운영 정보, 일부 개인정보 가능</t>
  </si>
  <si>
    <t>대수</t>
  </si>
  <si>
    <t>웹 서버</t>
  </si>
  <si>
    <t>시스템자산</t>
  </si>
  <si>
    <t>사용자 서비스 제공</t>
  </si>
  <si>
    <t>2등급 (Restricted)</t>
  </si>
  <si>
    <t>서비스 중단 시 업무 영향</t>
  </si>
  <si>
    <t>API 서버</t>
  </si>
  <si>
    <t>외부·내부 연동 처리</t>
  </si>
  <si>
    <t>핵심 기능 중단 위험</t>
  </si>
  <si>
    <t>DB 서버</t>
  </si>
  <si>
    <t>개인정보 저장·처리</t>
  </si>
  <si>
    <t>개인정보 직접 처리</t>
  </si>
  <si>
    <t>관리자 페이지</t>
  </si>
  <si>
    <t>애플리케이션</t>
  </si>
  <si>
    <t>운영·관리 기능</t>
  </si>
  <si>
    <t>침해 시 전체 서비스 통제 가능</t>
  </si>
  <si>
    <t>개발/테스트 서버</t>
  </si>
  <si>
    <t>개발·검증 환경</t>
  </si>
  <si>
    <t>운영 영향 제한적</t>
  </si>
  <si>
    <t>2대</t>
    <phoneticPr fontId="2" type="noConversion"/>
  </si>
  <si>
    <t>2대</t>
    <phoneticPr fontId="2" type="noConversion"/>
  </si>
  <si>
    <t>1대</t>
    <phoneticPr fontId="2" type="noConversion"/>
  </si>
  <si>
    <t>1대</t>
    <phoneticPr fontId="2" type="noConversion"/>
  </si>
  <si>
    <t>임직원 개인 노트북</t>
  </si>
  <si>
    <t>단말자산(BYOD)</t>
  </si>
  <si>
    <t>업무·재택근무용 단말</t>
  </si>
  <si>
    <t>업무 정보 접근 가능</t>
  </si>
  <si>
    <t>대수</t>
    <phoneticPr fontId="2" type="noConversion"/>
  </si>
  <si>
    <t>AWS 클라우드 서비스</t>
  </si>
  <si>
    <t>외부자산</t>
  </si>
  <si>
    <t>서버·스토리지 제공</t>
  </si>
  <si>
    <t>핵심 정보자산 저장·처리</t>
  </si>
  <si>
    <t>외주 개발 인력</t>
  </si>
  <si>
    <t>인적자산</t>
  </si>
  <si>
    <t>일부 시스템 접근 인력</t>
  </si>
  <si>
    <t>접근 통제 대상</t>
  </si>
  <si>
    <t>서비스 홍보 자료</t>
  </si>
  <si>
    <t>정보자산(문서)</t>
  </si>
  <si>
    <t>홈페이지·마케팅 콘텐츠</t>
  </si>
  <si>
    <t>공개 (Public)</t>
  </si>
  <si>
    <t>외부 공개 목적</t>
  </si>
  <si>
    <t>개발·인프라팀 업무용 PC</t>
  </si>
  <si>
    <t>단말자산</t>
  </si>
  <si>
    <t>백엔드/프론트엔드/인프라/QA</t>
  </si>
  <si>
    <t>개발·테스트·운영 시스템 접근</t>
  </si>
  <si>
    <t>내부 시스템 고권한 접근</t>
  </si>
  <si>
    <t>서비스·운영팀 업무용 PC</t>
  </si>
  <si>
    <t>서비스운영/정산/장애대응</t>
  </si>
  <si>
    <t>운영·정산 시스템 접근</t>
  </si>
  <si>
    <t>개인정보 처리 시스템 접근</t>
  </si>
  <si>
    <t>고객·영업·마케팅 PC</t>
  </si>
  <si>
    <t>CSM/운영컨설팅/CS/교육/영업/마케팅</t>
  </si>
  <si>
    <t>고객 응대·영업 활동</t>
  </si>
  <si>
    <t>고객 정보 접근 가능</t>
  </si>
  <si>
    <t>경영·관리부서 PC</t>
  </si>
  <si>
    <t>기획/인사/재무/법무/대표</t>
  </si>
  <si>
    <t>내부 경영·관리 업무</t>
  </si>
  <si>
    <t>내부 중요 문서 처리</t>
  </si>
  <si>
    <t>대상부서/팀</t>
    <phoneticPr fontId="2" type="noConversion"/>
  </si>
  <si>
    <t>31대</t>
    <phoneticPr fontId="2" type="noConversion"/>
  </si>
  <si>
    <t>18대</t>
    <phoneticPr fontId="2" type="noConversion"/>
  </si>
  <si>
    <t>25대</t>
    <phoneticPr fontId="2" type="noConversion"/>
  </si>
  <si>
    <t>12대</t>
    <phoneticPr fontId="2" type="noConversion"/>
  </si>
  <si>
    <t>62대</t>
    <phoneticPr fontId="2" type="noConversion"/>
  </si>
  <si>
    <t>대외비</t>
    <phoneticPr fontId="6" type="noConversion"/>
  </si>
  <si>
    <t>개인정보 항목</t>
  </si>
  <si>
    <t>개인정보 유형</t>
  </si>
  <si>
    <t>민감정보 여부</t>
  </si>
  <si>
    <t>보관/처리 목적</t>
  </si>
  <si>
    <t>비고</t>
  </si>
  <si>
    <t>개인회원 개인정보</t>
  </si>
  <si>
    <t>이름</t>
  </si>
  <si>
    <t>일반</t>
  </si>
  <si>
    <t>아니오</t>
  </si>
  <si>
    <t>회원 식별</t>
  </si>
  <si>
    <t>이메일</t>
  </si>
  <si>
    <t>로그인·알림</t>
  </si>
  <si>
    <t>휴대전화번호</t>
  </si>
  <si>
    <t>본인 확인</t>
  </si>
  <si>
    <t>배송지 주소</t>
  </si>
  <si>
    <t>상품 배송</t>
  </si>
  <si>
    <t>공동현관 비밀번호</t>
  </si>
  <si>
    <t>민감</t>
  </si>
  <si>
    <t>예</t>
  </si>
  <si>
    <t>배송 편의</t>
  </si>
  <si>
    <t>접근 통제</t>
  </si>
  <si>
    <t>계좌번호</t>
  </si>
  <si>
    <t>금융</t>
  </si>
  <si>
    <t>결제 처리</t>
  </si>
  <si>
    <t>암호화</t>
  </si>
  <si>
    <t>결제 비밀번호</t>
  </si>
  <si>
    <t>결제 인증</t>
  </si>
  <si>
    <t>입점 사업자 계정 정보</t>
  </si>
  <si>
    <t>아이디</t>
  </si>
  <si>
    <t>로그인</t>
  </si>
  <si>
    <t>비밀번호</t>
  </si>
  <si>
    <t>인증</t>
  </si>
  <si>
    <t>해시</t>
  </si>
  <si>
    <t>연락</t>
  </si>
  <si>
    <t>휴대폰번호</t>
  </si>
  <si>
    <t>사업자등록번호</t>
  </si>
  <si>
    <t>고유식별</t>
  </si>
  <si>
    <t>사업자 확인</t>
  </si>
  <si>
    <t>대표자명</t>
  </si>
  <si>
    <t>계약 관리</t>
  </si>
  <si>
    <t>정산계좌 정보</t>
  </si>
  <si>
    <t>정산 처리</t>
  </si>
  <si>
    <t>민감</t>
    <phoneticPr fontId="2" type="noConversion"/>
  </si>
  <si>
    <t>위험 평가 방법론 (Methodology)</t>
  </si>
  <si>
    <t>위험 점수는 다음과 같은 기준으로 산정되었습니다.</t>
  </si>
  <si>
    <r>
      <t>자산 중요도(A):</t>
    </r>
    <r>
      <rPr>
        <sz val="11"/>
        <color theme="1"/>
        <rFont val="맑은 고딕"/>
        <family val="2"/>
        <charset val="129"/>
        <scheme val="minor"/>
      </rPr>
      <t xml:space="preserve"> 기밀성, 무결성, 가용성을 고려한 등급 (1등급=3, 2등급=2, 3등급/공개=1)</t>
    </r>
  </si>
  <si>
    <r>
      <t>취약도 및 위협(B):</t>
    </r>
    <r>
      <rPr>
        <sz val="11"/>
        <color theme="1"/>
        <rFont val="맑은 고딕"/>
        <family val="2"/>
        <charset val="129"/>
        <scheme val="minor"/>
      </rPr>
      <t xml:space="preserve"> 외부 노출 여부, 관리 수준, 침해 발생 시 영향도 (고=3, 중=2, 저=1)</t>
    </r>
  </si>
  <si>
    <r>
      <t>위험 등급:</t>
    </r>
    <r>
      <rPr>
        <sz val="11"/>
        <color theme="1"/>
        <rFont val="맑은 고딕"/>
        <family val="2"/>
        <charset val="129"/>
        <scheme val="minor"/>
      </rPr>
      <t xml:space="preserve"> </t>
    </r>
    <r>
      <rPr>
        <b/>
        <sz val="11"/>
        <color theme="1"/>
        <rFont val="맑은 고딕"/>
        <family val="3"/>
        <charset val="129"/>
        <scheme val="minor"/>
      </rPr>
      <t>심각(9)</t>
    </r>
    <r>
      <rPr>
        <sz val="11"/>
        <color theme="1"/>
        <rFont val="맑은 고딕"/>
        <family val="2"/>
        <charset val="129"/>
        <scheme val="minor"/>
      </rPr>
      <t xml:space="preserve">, </t>
    </r>
    <r>
      <rPr>
        <b/>
        <sz val="11"/>
        <color theme="1"/>
        <rFont val="맑은 고딕"/>
        <family val="3"/>
        <charset val="129"/>
        <scheme val="minor"/>
      </rPr>
      <t>높음(6~8)</t>
    </r>
    <r>
      <rPr>
        <sz val="11"/>
        <color theme="1"/>
        <rFont val="맑은 고딕"/>
        <family val="2"/>
        <charset val="129"/>
        <scheme val="minor"/>
      </rPr>
      <t xml:space="preserve">, </t>
    </r>
    <r>
      <rPr>
        <b/>
        <sz val="11"/>
        <color theme="1"/>
        <rFont val="맑은 고딕"/>
        <family val="3"/>
        <charset val="129"/>
        <scheme val="minor"/>
      </rPr>
      <t>보통(3~5)</t>
    </r>
    <r>
      <rPr>
        <sz val="11"/>
        <color theme="1"/>
        <rFont val="맑은 고딕"/>
        <family val="2"/>
        <charset val="129"/>
        <scheme val="minor"/>
      </rPr>
      <t xml:space="preserve">, </t>
    </r>
    <r>
      <rPr>
        <b/>
        <sz val="11"/>
        <color theme="1"/>
        <rFont val="맑은 고딕"/>
        <family val="3"/>
        <charset val="129"/>
        <scheme val="minor"/>
      </rPr>
      <t>낮음(1~2)</t>
    </r>
  </si>
  <si>
    <t>위험도</t>
    <phoneticPr fontId="2" type="noConversion"/>
  </si>
  <si>
    <t>자산 중요도 (Asset Value)</t>
  </si>
  <si>
    <r>
      <t>3점 (상):</t>
    </r>
    <r>
      <rPr>
        <sz val="11"/>
        <color theme="1"/>
        <rFont val="맑은 고딕"/>
        <family val="2"/>
        <charset val="129"/>
        <scheme val="minor"/>
      </rPr>
      <t xml:space="preserve"> 유출/중단 시 법적 처벌이나 서비스 전면 중단 (예: 개인정보 DB, 관리자 페이지)</t>
    </r>
  </si>
  <si>
    <r>
      <t>2점 (중):</t>
    </r>
    <r>
      <rPr>
        <sz val="11"/>
        <color theme="1"/>
        <rFont val="맑은 고딕"/>
        <family val="2"/>
        <charset val="129"/>
        <scheme val="minor"/>
      </rPr>
      <t xml:space="preserve"> 업무 수행에 지장을 주나 대체 수단이 있음 (예: 내부 그룹웨어, 웹 서버)</t>
    </r>
  </si>
  <si>
    <r>
      <t>1점 (하):</t>
    </r>
    <r>
      <rPr>
        <sz val="11"/>
        <color theme="1"/>
        <rFont val="맑은 고딕"/>
        <family val="2"/>
        <charset val="129"/>
        <scheme val="minor"/>
      </rPr>
      <t xml:space="preserve"> 공개된 정보 또는 단순 업무 보조 자산 (예: 홍보 자료, 일반 PC)</t>
    </r>
  </si>
  <si>
    <t>취약도/위협 (Vulnerability/Threat)</t>
  </si>
  <si>
    <r>
      <t>3점 (상):</t>
    </r>
    <r>
      <rPr>
        <sz val="11"/>
        <color theme="1"/>
        <rFont val="맑은 고딕"/>
        <family val="2"/>
        <charset val="129"/>
        <scheme val="minor"/>
      </rPr>
      <t xml:space="preserve"> 보안 패치 미비, 외부 노출, 접근 제어 없음 (발생 가능성 매우 높음)</t>
    </r>
  </si>
  <si>
    <r>
      <t>1점 (하):</t>
    </r>
    <r>
      <rPr>
        <sz val="11"/>
        <color theme="1"/>
        <rFont val="맑은 고딕"/>
        <family val="2"/>
        <charset val="129"/>
        <scheme val="minor"/>
      </rPr>
      <t xml:space="preserve"> 내부망 위치, 강력한 인증 적용, 주기적 점검 (발생 가능성 낮음)</t>
    </r>
  </si>
  <si>
    <t>산식: Risk = 중요도 X 취약도</t>
    <phoneticPr fontId="2" type="noConversion"/>
  </si>
  <si>
    <t>위험 등급 정의 (DoA: Degree of Acceptance)</t>
  </si>
  <si>
    <t>심각 (Critical)</t>
  </si>
  <si>
    <t>높음 (High)</t>
  </si>
  <si>
    <t>보통 (Medium)</t>
  </si>
  <si>
    <t>3 ~ 4</t>
  </si>
  <si>
    <t>낮음 (Low)</t>
  </si>
  <si>
    <t>1 ~ 2</t>
  </si>
  <si>
    <t>자산중요도(3) x 취약도(2) = 높음(6)</t>
    <phoneticPr fontId="2" type="noConversion"/>
  </si>
  <si>
    <t>자산중요도(3) x 취약도(1) = 보통(3)</t>
    <phoneticPr fontId="2" type="noConversion"/>
  </si>
  <si>
    <t>자산중요도(3) x 취약도(3) = 심각(9)</t>
    <phoneticPr fontId="2" type="noConversion"/>
  </si>
  <si>
    <t>자산중요도(2) x 취약도(3) = 높음(6)</t>
    <phoneticPr fontId="2" type="noConversion"/>
  </si>
  <si>
    <t>자산중요도(1) x 취약도(2) = 낮음(2)</t>
    <phoneticPr fontId="2" type="noConversion"/>
  </si>
  <si>
    <t>자산중요도(1) x 취약도(3) = 보통(3)</t>
    <phoneticPr fontId="2" type="noConversion"/>
  </si>
  <si>
    <t>자산중요도(2) x 취약도(3) = 높움(6)</t>
    <phoneticPr fontId="2" type="noConversion"/>
  </si>
  <si>
    <t>자산중요도(2) x 취약도(1) = 낮음(2)</t>
    <phoneticPr fontId="2" type="noConversion"/>
  </si>
  <si>
    <t>사업자명/소속 : GI &amp; JANG</t>
    <phoneticPr fontId="6" type="noConversion"/>
  </si>
  <si>
    <t>사무실</t>
    <phoneticPr fontId="2" type="noConversion"/>
  </si>
  <si>
    <t>사무실출입통제장치</t>
    <phoneticPr fontId="2" type="noConversion"/>
  </si>
  <si>
    <t>외부 침입</t>
    <phoneticPr fontId="2" type="noConversion"/>
  </si>
  <si>
    <t>해킹</t>
    <phoneticPr fontId="2" type="noConversion"/>
  </si>
  <si>
    <t>자산구분</t>
    <phoneticPr fontId="2" type="noConversion"/>
  </si>
  <si>
    <t>자산명</t>
    <phoneticPr fontId="2" type="noConversion"/>
  </si>
  <si>
    <t>자산설명</t>
    <phoneticPr fontId="2" type="noConversion"/>
  </si>
  <si>
    <t>위협유형</t>
    <phoneticPr fontId="2" type="noConversion"/>
  </si>
  <si>
    <t>위협내용</t>
    <phoneticPr fontId="2" type="noConversion"/>
  </si>
  <si>
    <t>비고</t>
    <phoneticPr fontId="2" type="noConversion"/>
  </si>
  <si>
    <t>정보자산</t>
    <phoneticPr fontId="2" type="noConversion"/>
  </si>
  <si>
    <t>시스템자산</t>
    <phoneticPr fontId="2" type="noConversion"/>
  </si>
  <si>
    <t>단말자산</t>
    <phoneticPr fontId="2" type="noConversion"/>
  </si>
  <si>
    <t>외부&amp;인적자산</t>
    <phoneticPr fontId="2" type="noConversion"/>
  </si>
  <si>
    <t>공개정보</t>
    <phoneticPr fontId="2" type="noConversion"/>
  </si>
  <si>
    <t>물리자산</t>
    <phoneticPr fontId="2" type="noConversion"/>
  </si>
  <si>
    <t>내부자 오남용</t>
    <phoneticPr fontId="2" type="noConversion"/>
  </si>
  <si>
    <t>직원 업무 공간 출입 통제 장치</t>
    <phoneticPr fontId="2" type="noConversion"/>
  </si>
  <si>
    <t>임직원 업무 수행 공간</t>
    <phoneticPr fontId="2" type="noConversion"/>
  </si>
  <si>
    <t>정보자산이 처리되는 사무 공간</t>
    <phoneticPr fontId="2" type="noConversion"/>
  </si>
  <si>
    <t>사무실 물리보안장치</t>
    <phoneticPr fontId="2" type="noConversion"/>
  </si>
  <si>
    <t>도난/분실</t>
    <phoneticPr fontId="2" type="noConversion"/>
  </si>
  <si>
    <t>설정오류</t>
    <phoneticPr fontId="2" type="noConversion"/>
  </si>
  <si>
    <t>설정 미흡으로 데이터가 외부에 노출 될 수 있음</t>
    <phoneticPr fontId="2" type="noConversion"/>
  </si>
  <si>
    <t>악성코드/랜섬웨어</t>
  </si>
  <si>
    <t>악성코드/랜섬웨어</t>
    <phoneticPr fontId="2" type="noConversion"/>
  </si>
  <si>
    <t>보안설정 미흡으로 악성코드/랜섬웨어에 감염될 수 있음</t>
    <phoneticPr fontId="2" type="noConversion"/>
  </si>
  <si>
    <t>무단접근</t>
    <phoneticPr fontId="2" type="noConversion"/>
  </si>
  <si>
    <t>시스템 장애</t>
    <phoneticPr fontId="2" type="noConversion"/>
  </si>
  <si>
    <t>외부 해킹으로 인해 고객 개인정보가 유출될 수 있음</t>
    <phoneticPr fontId="2" type="noConversion"/>
  </si>
  <si>
    <t>내부 직원의 권한 남용으로 정보가 무단 유출될 수 있음</t>
    <phoneticPr fontId="2" type="noConversion"/>
  </si>
  <si>
    <t>정보 유출</t>
    <phoneticPr fontId="2" type="noConversion"/>
  </si>
  <si>
    <t>정보 유출로 인해 고객의 정보가 탈취당할 수 있음</t>
    <phoneticPr fontId="2" type="noConversion"/>
  </si>
  <si>
    <t>악성코드 삽입으로 DB 및 설정 백업 파일이 암호화되어 서버 가용성이 침해될 수 있음</t>
    <phoneticPr fontId="2" type="noConversion"/>
  </si>
  <si>
    <t>무단 접근</t>
    <phoneticPr fontId="2" type="noConversion"/>
  </si>
  <si>
    <t>외부 공격으로 인해 기업 고객의 관리자 계정 정보가 탈취될 수 있음</t>
    <phoneticPr fontId="2" type="noConversion"/>
  </si>
  <si>
    <t>기업 고객 계정 정보</t>
    <phoneticPr fontId="2" type="noConversion"/>
  </si>
  <si>
    <t>인증정보 노출로 불법 로그인 및 계정탈취가 발생할 수 있음</t>
    <phoneticPr fontId="2" type="noConversion"/>
  </si>
  <si>
    <t>내부 직원의 권한 남용으로 인증정보가 무단조회 및 유출될 수 있음</t>
    <phoneticPr fontId="2" type="noConversion"/>
  </si>
  <si>
    <t>백업데이터 접근 시 DB정보가 외부로 유출될 수 있음</t>
    <phoneticPr fontId="2" type="noConversion"/>
  </si>
  <si>
    <t>로그데이터 암호화로 사고 탐지 및 분석이 어려워 질 수 있음</t>
    <phoneticPr fontId="2" type="noConversion"/>
  </si>
  <si>
    <t>로그데이터 무단열람으로 사용자 행위정보가 노출될 수 있음</t>
    <phoneticPr fontId="2" type="noConversion"/>
  </si>
  <si>
    <t>시스템 장애로 인해 서비스 제공이 중단될 수 있음</t>
    <phoneticPr fontId="2" type="noConversion"/>
  </si>
  <si>
    <t>외부공격으로 웹 서버 권한이 탈취될 수 있음</t>
    <phoneticPr fontId="2" type="noConversion"/>
  </si>
  <si>
    <t>외부·내부 연동 처리</t>
    <phoneticPr fontId="2" type="noConversion"/>
  </si>
  <si>
    <t>시스템 장애발생 시 내부·외부 연동서비스가 중단될 수 있음</t>
    <phoneticPr fontId="2" type="noConversion"/>
  </si>
  <si>
    <t>DB암호화로 데이터 접근이 불가능 해질 수 있음</t>
    <phoneticPr fontId="2" type="noConversion"/>
  </si>
  <si>
    <t>개인정보저장 DB접근으로 민감정보가 유출될 수 있음</t>
    <phoneticPr fontId="2" type="noConversion"/>
  </si>
  <si>
    <t>외부 해킹으로 인한 관리자 권한 탈취될 수 있음</t>
    <phoneticPr fontId="2" type="noConversion"/>
  </si>
  <si>
    <t>개발 테스트 환경을 통한 내부정보 유출 가능성이 있음</t>
    <phoneticPr fontId="2" type="noConversion"/>
  </si>
  <si>
    <t>퇴사자 사후 처리 미흡으로 인한 관리자 권한이 부적절하게 사용 될 수 있음</t>
    <phoneticPr fontId="2" type="noConversion"/>
  </si>
  <si>
    <t>소지 중 도난 및 분실 시 내부정보가 외부로 유출될 수 있음</t>
    <phoneticPr fontId="2" type="noConversion"/>
  </si>
  <si>
    <t>원격 접속 환경에서 내부시스템이 공격당할 수 있음</t>
    <phoneticPr fontId="2" type="noConversion"/>
  </si>
  <si>
    <t>보안설정 미흡으로 시스템 접근 정보가 유출될 수 있음</t>
    <phoneticPr fontId="2" type="noConversion"/>
  </si>
  <si>
    <t>감염시에 서비스 운영업무에 장애가 발생할 수 있음</t>
    <phoneticPr fontId="2" type="noConversion"/>
  </si>
  <si>
    <t>고객 및 영업정보가 외부로 유출될 수 있음</t>
    <phoneticPr fontId="2" type="noConversion"/>
  </si>
  <si>
    <t>경영·재무 등 중요정보가 외부로 유출될 수 있음</t>
    <phoneticPr fontId="2" type="noConversion"/>
  </si>
  <si>
    <t>최소 접근권한 미흡으로 권한외의 정보가 노출 될 수 있음</t>
    <phoneticPr fontId="2" type="noConversion"/>
  </si>
  <si>
    <t>해킹으로인해 의도하지 않은 정보가 노출 될 수 있음</t>
    <phoneticPr fontId="2" type="noConversion"/>
  </si>
  <si>
    <t>외부인의 무단 출입으로 인한 사무실 내의 기밀정보가 유출 될 수 있음</t>
    <phoneticPr fontId="2" type="noConversion"/>
  </si>
  <si>
    <t>출입통제 장애로 무단 출입 위험이 증가할 수 있음</t>
    <phoneticPr fontId="2" type="noConversion"/>
  </si>
  <si>
    <t>취약점</t>
    <phoneticPr fontId="2" type="noConversion"/>
  </si>
  <si>
    <t>접근통제 미흡</t>
    <phoneticPr fontId="2" type="noConversion"/>
  </si>
  <si>
    <t>암호화 미흡</t>
    <phoneticPr fontId="2" type="noConversion"/>
  </si>
  <si>
    <t>백업·복구정책 미흡</t>
    <phoneticPr fontId="2" type="noConversion"/>
  </si>
  <si>
    <t>보안패치 미적용</t>
    <phoneticPr fontId="2" type="noConversion"/>
  </si>
  <si>
    <t>설정·검토 절차 미흡</t>
    <phoneticPr fontId="2" type="noConversion"/>
  </si>
  <si>
    <t>로그 접근통제 미흡</t>
    <phoneticPr fontId="2" type="noConversion"/>
  </si>
  <si>
    <t>단말 보안정책 미흡</t>
    <phoneticPr fontId="2" type="noConversion"/>
  </si>
  <si>
    <t>외부 인력 보안관리 미흡</t>
    <phoneticPr fontId="2" type="noConversion"/>
  </si>
  <si>
    <t>접근통제 미흡, 사용자 식별 인증정책 미흡</t>
    <phoneticPr fontId="2" type="noConversion"/>
  </si>
  <si>
    <t>권한관리 및 접근통제 정책·절차 미흡</t>
    <phoneticPr fontId="2" type="noConversion"/>
  </si>
  <si>
    <t>백업 접근통제 미흡</t>
    <phoneticPr fontId="2" type="noConversion"/>
  </si>
  <si>
    <t>로그 보호정책 미흡</t>
    <phoneticPr fontId="2" type="noConversion"/>
  </si>
  <si>
    <t>복구정책 미흡</t>
    <phoneticPr fontId="2" type="noConversion"/>
  </si>
  <si>
    <t>접근통제 미흡, 백업·복구정책 미흡</t>
    <phoneticPr fontId="2" type="noConversion"/>
  </si>
  <si>
    <t>암호화 미흡, 접근통제미흡</t>
    <phoneticPr fontId="2" type="noConversion"/>
  </si>
  <si>
    <t>단말 보안정책 미흡, 백업·복구정책 미흡</t>
    <phoneticPr fontId="2" type="noConversion"/>
  </si>
  <si>
    <t>변경관리 절차 미흡</t>
    <phoneticPr fontId="2" type="noConversion"/>
  </si>
  <si>
    <t>출입통제 관리 미흡</t>
    <phoneticPr fontId="2" type="noConversion"/>
  </si>
  <si>
    <t>처리전략</t>
    <phoneticPr fontId="2" type="noConversion"/>
  </si>
  <si>
    <t>위험처리방안</t>
    <phoneticPr fontId="2" type="noConversion"/>
  </si>
  <si>
    <t>감소</t>
    <phoneticPr fontId="2" type="noConversion"/>
  </si>
  <si>
    <t>수용</t>
    <phoneticPr fontId="2" type="noConversion"/>
  </si>
  <si>
    <r>
      <t>2점 (중):</t>
    </r>
    <r>
      <rPr>
        <sz val="11"/>
        <color theme="1"/>
        <rFont val="맑은 고딕"/>
        <family val="2"/>
        <charset val="129"/>
        <scheme val="minor"/>
      </rPr>
      <t xml:space="preserve"> 기본적인 보안 장치는 있으나 우회 가능성 있음 (발생 가능성 보통)</t>
    </r>
    <phoneticPr fontId="2" type="noConversion"/>
  </si>
  <si>
    <t>자산중요도(1) x 취약도(3) = 낮음(3)</t>
    <phoneticPr fontId="2" type="noConversion"/>
  </si>
  <si>
    <t>암호화, 권한최소화, 접근 로그모니터링</t>
    <phoneticPr fontId="2" type="noConversion"/>
  </si>
  <si>
    <t>권한최소화, 접근 로그모니터링</t>
    <phoneticPr fontId="2" type="noConversion"/>
  </si>
  <si>
    <t>암호화, 인증강화, 접근 로그모니터링</t>
    <phoneticPr fontId="2" type="noConversion"/>
  </si>
  <si>
    <t>암호화강화, 인증강화</t>
    <phoneticPr fontId="2" type="noConversion"/>
  </si>
  <si>
    <t>권한최소화, 접근 로그모니터링, 접근통제 정책·절차 강화</t>
    <phoneticPr fontId="2" type="noConversion"/>
  </si>
  <si>
    <t>접근 권한 최소화, 접근통제 강화</t>
    <phoneticPr fontId="2" type="noConversion"/>
  </si>
  <si>
    <t>백업데이터 접근권한 최소화, 백업·복구 대응 절차 강화</t>
    <phoneticPr fontId="2" type="noConversion"/>
  </si>
  <si>
    <t>수용, 로그데이터 접근 실시간 모니터링</t>
    <phoneticPr fontId="2" type="noConversion"/>
  </si>
  <si>
    <t>장애 복구절차 강화 및 장애복구 훈련 실시</t>
    <phoneticPr fontId="2" type="noConversion"/>
  </si>
  <si>
    <t>접근통제 강화 및 WAF설치</t>
    <phoneticPr fontId="2" type="noConversion"/>
  </si>
  <si>
    <t>백업·복구 대응 절차 강화, 훈련 실시</t>
    <phoneticPr fontId="2" type="noConversion"/>
  </si>
  <si>
    <t>암호화, 접근통제강화, 접근 로그모니터링</t>
    <phoneticPr fontId="2" type="noConversion"/>
  </si>
  <si>
    <t>화이트리스트 기반 접근통제, 인증강화, 접근 로그모니터링</t>
    <phoneticPr fontId="2" type="noConversion"/>
  </si>
  <si>
    <t>퇴사자 사후처리 절차 강화</t>
    <phoneticPr fontId="2" type="noConversion"/>
  </si>
  <si>
    <t>데이터 비식별화</t>
    <phoneticPr fontId="2" type="noConversion"/>
  </si>
  <si>
    <t>단말 보안정책 강화, 단말기기 암호화 강화</t>
    <phoneticPr fontId="2" type="noConversion"/>
  </si>
  <si>
    <t>최신 보안패치 적용, 백신 적용, 불법프로그램 사용 금지</t>
    <phoneticPr fontId="2" type="noConversion"/>
  </si>
  <si>
    <t>VPN을 통한 안전한 원격접속, 원격접속 시 인증강화</t>
    <phoneticPr fontId="2" type="noConversion"/>
  </si>
  <si>
    <t>단말 보안정책 강화 및 교육 실시</t>
    <phoneticPr fontId="2" type="noConversion"/>
  </si>
  <si>
    <t>단말 보안정책 강화및 교육 실시, 장애 복구절차 강화</t>
    <phoneticPr fontId="2" type="noConversion"/>
  </si>
  <si>
    <t>권한 최소화, 계약 종료 시 즉시 계정회수, 로그 모니터링강화</t>
    <phoneticPr fontId="2" type="noConversion"/>
  </si>
  <si>
    <t>변경관리 및 승인절차 수립, 게시 전 검토 절차 수립</t>
    <phoneticPr fontId="2" type="noConversion"/>
  </si>
  <si>
    <t>ISMS-P 영역</t>
    <phoneticPr fontId="2" type="noConversion"/>
  </si>
  <si>
    <t>요구사항</t>
    <phoneticPr fontId="2" type="noConversion"/>
  </si>
  <si>
    <t>현재수준</t>
    <phoneticPr fontId="2" type="noConversion"/>
  </si>
  <si>
    <t>GAP 여부</t>
    <phoneticPr fontId="2" type="noConversion"/>
  </si>
  <si>
    <t>개선 필요사항</t>
    <phoneticPr fontId="2" type="noConversion"/>
  </si>
  <si>
    <t>접근통제</t>
  </si>
  <si>
    <t>인증(MFA)</t>
  </si>
  <si>
    <t>권한관리</t>
  </si>
  <si>
    <t>개인정보 암호화</t>
  </si>
  <si>
    <t>로그 관리</t>
  </si>
  <si>
    <t>백업 및 복구</t>
  </si>
  <si>
    <t>클라우드 보안 설정</t>
  </si>
  <si>
    <t>외부 인력 보안관리</t>
  </si>
  <si>
    <t>단말 보안(BYOD)</t>
  </si>
  <si>
    <t>사고 대응 절차</t>
  </si>
  <si>
    <t>중요 정보자산에 대한 접근은 최소 권한 원칙에 따라 관리해야 한다</t>
  </si>
  <si>
    <t>일부 계정만 권한 관리 수행</t>
  </si>
  <si>
    <t>있음</t>
  </si>
  <si>
    <t>접근 권한 정기 검토 절차 수립 및 최소 권한 적용</t>
  </si>
  <si>
    <t xml:space="preserve"> 접근통제</t>
    <phoneticPr fontId="2" type="noConversion"/>
  </si>
  <si>
    <t xml:space="preserve">정보시스템과 개인정보 및 중요정보에 대한 사용자의 접근은 안전한 인증절차와 필요에 따라 강화된 인증방식을 적용하여야 한다. </t>
    <phoneticPr fontId="2" type="noConversion"/>
  </si>
  <si>
    <t xml:space="preserve">정보시스템 관리, 개인정보 및 중요정보 관리 등 특수 목적을 위하여 사용하는 계정 및 권한은 최소한으로 부여하고 별도로 식별하여 통제하여야 한다. </t>
    <phoneticPr fontId="2"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</si>
  <si>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2"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</si>
  <si>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</si>
  <si>
    <t>정보시스템의 가용성과 데이터 무결성을 유지하기 위하여 백업 대상, 주기, 방법, 보관장소, 보관기간, 소산 등의 절차를 수립∙이행하여야 한다. 아울러 사고 발생 시 적시에 복구할 수 있도록 관리하여야 한다.</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</si>
  <si>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</si>
  <si>
    <t>PC, 모바일 기기 등 단말기기를 업무 목적으로 네트워크에 연결할 경우 기기 인증 및 승인, 접근 범위, 기기 보안설정 등의 접근통제 대책을 수립하고 주기적으로 점검하여야 한다.</t>
    <phoneticPr fontId="17" type="noConversion"/>
  </si>
  <si>
    <t>외부 서비스를 이용하거나 업무를 위탁할 경우, 그 현황과 위험을 파악하여 관련 보안 요구사항을 계약서에 명시하고, 이를 바탕으로 외부자의 보호대책 이행 여부를 주기적으로 점검 및 관리·감독해야 한다.</t>
    <phoneticPr fontId="2"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</si>
  <si>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</si>
  <si>
    <t>개인정보처리시스템에 대한 접근 인증 미비</t>
    <phoneticPr fontId="2" type="noConversion"/>
  </si>
  <si>
    <t>개인정보처리시스템에 대한 안전한 인증수단, 
안전한 접속수단 도입</t>
    <phoneticPr fontId="2" type="noConversion"/>
  </si>
  <si>
    <t>직무분리 미흡으로 인해 권한 오남용 위험 증대</t>
    <phoneticPr fontId="2" type="noConversion"/>
  </si>
  <si>
    <t>업무의 성격에 따라 직무를 세분화하고, 
최소 권한 부여 원칙에 따라 권한을 재할당</t>
    <phoneticPr fontId="2" type="noConversion"/>
  </si>
  <si>
    <t>취약한 암호화 알고리즘 사용(MD5)</t>
    <phoneticPr fontId="2" type="noConversion"/>
  </si>
  <si>
    <t>표준으로 권장하는 암호화 알고리즘 사용(SHA-256)</t>
    <phoneticPr fontId="2" type="noConversion"/>
  </si>
  <si>
    <t>로그 접근 권한 정기 검토 절차 수립 및 최소 권한 적용</t>
    <phoneticPr fontId="2" type="noConversion"/>
  </si>
  <si>
    <t>로그 파일 및 로그 관리 시스템에 대한 접근 권한 할당 기준이 미비함</t>
    <phoneticPr fontId="2" type="noConversion"/>
  </si>
  <si>
    <t>백업 및 복구 관리 지침 내 백업 대상, 주기, 보관 기간 등 
세부 운영 기준이 명확히 정의되지 않음</t>
    <phoneticPr fontId="2" type="noConversion"/>
  </si>
  <si>
    <t>백업·복구 대응 절차 강화 및 주기적 훈련 적용</t>
    <phoneticPr fontId="2" type="noConversion"/>
  </si>
  <si>
    <t>관리자 접근 및 보안 설정 미흡</t>
    <phoneticPr fontId="2" type="noConversion"/>
  </si>
  <si>
    <t>접근 권한 정기 검토 절차 수립 및 보안 설정 재수립</t>
    <phoneticPr fontId="2" type="noConversion"/>
  </si>
  <si>
    <t>외부 인력의 보안 준수 현황을 확인하기 위한 
정기적인 실태 점검 및 감사 이력이 부재함</t>
    <phoneticPr fontId="2" type="noConversion"/>
  </si>
  <si>
    <t>정기적인 실태 점검, 작업 로그 모니터링</t>
    <phoneticPr fontId="2" type="noConversion"/>
  </si>
  <si>
    <t>외부 원격 접속에 대한 사전 승인 절차가 부재</t>
    <phoneticPr fontId="2" type="noConversion"/>
  </si>
  <si>
    <t>침해사고 발생 시 보고 체계 및 초동 조치 등 
단계별 대응 절차에 대한 임직원 인식 제고 및 교육이 미흡함</t>
    <phoneticPr fontId="2" type="noConversion"/>
  </si>
  <si>
    <t>훈련 결과에 따른 미비점을 보완하여 
사고 대응 지침서 고도화</t>
    <phoneticPr fontId="2" type="noConversion"/>
  </si>
  <si>
    <t>분석대상</t>
    <phoneticPr fontId="2" type="noConversion"/>
  </si>
  <si>
    <t>본 사고시나리오 분석의 대상은 랜섬웨어 감염으로 인해 서비스 중단 위험이 발생할 수 있는 DB 서버, 데이터 복구를 위한 백업 데이터, 그리고 사고 탐지 및 분석을 위한 서비스 로그 데이터를 대상으로 한다.</t>
    <phoneticPr fontId="2" type="noConversion"/>
  </si>
  <si>
    <t>분석범위</t>
    <phoneticPr fontId="2" type="noConversion"/>
  </si>
  <si>
    <t>본 분석은 랜섬웨어 감염으로 인한 DB 서버 서비스 중단 사고를 대상으로 하며, 자산목록을 기반으로 가용성(A)을 중심으로 분석한다. 또한 사고 탐지 및 대응 과정에서의 기밀성(C)과 무결성(I)에 대한 영향 여부를 함께 검토한다. 분석 범위는 랜섬웨어 감염, 사고 탐지, 초기 대응, 확산 방지, 서비스 복구, 재발 방지 단계로 한정한다.</t>
    <phoneticPr fontId="2" type="noConversion"/>
  </si>
  <si>
    <t>사고 시나리오 정의</t>
    <phoneticPr fontId="2" type="noConversion"/>
  </si>
  <si>
    <t>본 사고는 내부 사용자의 업무용 단말이 악성 이메일 또는 외부 파일을 통해 랜섬웨어에 감염되고, 해당 단말을 경유하여 내부 네트워크로 확산된 악성코드가 DB 서버의 데이터 파일을 암호화하여 서비스가 중단되는 상황을 가정한다. 이 과정에서 랜섬웨어 감염 여부가 즉시 탐지되지 않아 초기 대응이 지연되며, 백업 및 복구 체계의 미흡으로 인해 서비스 중단이 장기화되는 상황을 전제로 한다. 본 시나리오는 조직의 단말 보안, 로그 관리, 사고 대응 절차, 백업·복구 체계가 실제 사고 상황에서 유효하게 작동 가능한지를 검증하는 데 목적이 있다.</t>
    <phoneticPr fontId="2" type="noConversion"/>
  </si>
  <si>
    <t>단계</t>
  </si>
  <si>
    <t>분석 관점(CIA)</t>
  </si>
  <si>
    <t>사고 가정 / 시나리오 내용</t>
  </si>
  <si>
    <t>검증 질문(통제 작동 여부)</t>
  </si>
  <si>
    <t>확인된 GAP</t>
  </si>
  <si>
    <t>ISMS-P 통제 영역</t>
  </si>
  <si>
    <t>개선 과제</t>
  </si>
  <si>
    <t>사고 탐지</t>
    <phoneticPr fontId="2" type="noConversion"/>
  </si>
  <si>
    <t>가용성(A)</t>
    <phoneticPr fontId="2" type="noConversion"/>
  </si>
  <si>
    <t>랜섬웨어 감염으로 인해 DB 서버의 데이터 파일이 암호화되면서 DB 서비스 장애가 발생하였으나, 사전 경보 없이 서비스 장애 또는 사용자 민원을 통해 사고가 인지되는 상황을 가정한다.</t>
    <phoneticPr fontId="2" type="noConversion"/>
  </si>
  <si>
    <t>초기 대응</t>
    <phoneticPr fontId="2" type="noConversion"/>
  </si>
  <si>
    <t>확산 방지</t>
    <phoneticPr fontId="2" type="noConversion"/>
  </si>
  <si>
    <t>복구</t>
    <phoneticPr fontId="2" type="noConversion"/>
  </si>
  <si>
    <t>재발 방지</t>
    <phoneticPr fontId="2" type="noConversion"/>
  </si>
  <si>
    <t>랜섬웨어 감염 또는 DB 서버 이상 행위를 서비스 중단 이전에 로그 및 모니터링을 통해 사전에 탐지할 수 있는가?</t>
    <phoneticPr fontId="2" type="noConversion"/>
  </si>
  <si>
    <t>DB 서버 및 시스템 로그에 대한 실시간 모니터링 체계가 미흡하여 랜섬웨어 감염을 사전에 탐지하지 못함</t>
    <phoneticPr fontId="2" type="noConversion"/>
  </si>
  <si>
    <t>로그 및 모니터링</t>
  </si>
  <si>
    <t>1. 사고주제</t>
    <phoneticPr fontId="2" type="noConversion"/>
  </si>
  <si>
    <t>2. 단계별 분석</t>
    <phoneticPr fontId="2" type="noConversion"/>
  </si>
  <si>
    <t>사고시나리오 정의서</t>
    <phoneticPr fontId="2" type="noConversion"/>
  </si>
  <si>
    <t>DB 서버 및 주요 시스템 로그를 중앙에서 수집·분석하고, 랜섬웨어 행위 및 서비스 이상 징후에 대한 탐지 기준을 수립하여 실시간 모니터링 체계를 강화한다.</t>
    <phoneticPr fontId="2" type="noConversion"/>
  </si>
  <si>
    <t>DB 서버 서비스 중단 이후 랜섬웨어 감염이 의심되는 상황이 확인되었으나, 감염 원인 및 범위에 대한 판단이 지연되어 DB 서버 격리 및 계정 차단 등의 초기 대응 조치가 즉시 이루어지지 않는 상황을 가정한다.</t>
    <phoneticPr fontId="2" type="noConversion"/>
  </si>
  <si>
    <t>랜섬웨어 감염이 의심되는 시점에 DB 서버 격리, 관련 계정 차단, 사고 보고 등의 초기 대응 조치를 신속하게 수행할 수 있는가?</t>
    <phoneticPr fontId="2" type="noConversion"/>
  </si>
  <si>
    <t>랜섬웨어 감염 의심 시 수행해야 할 초기 대응 절차가 명확하지 않아 DB 서버 격리 및 계정 차단 등 즉각적인 대응이 지연됨</t>
    <phoneticPr fontId="2" type="noConversion"/>
  </si>
  <si>
    <t>침해사고 대응</t>
    <phoneticPr fontId="2" type="noConversion"/>
  </si>
  <si>
    <t>랜섬웨어 감염 의심 시 즉시 수행해야 할 DB 서버 격리, 계정 차단, 보고 절차를 포함한 초기 대응 매뉴얼을 수립하고 정기적인 모의훈련을 통해 대응 역량을 강화한다.</t>
    <phoneticPr fontId="2" type="noConversion"/>
  </si>
  <si>
    <t>랜섬웨어에 감염된 단말 또는 서버가 내부 네트워크와 분리되지 않아 동일 네트워크에 연결된 다른 시스템으로 악성코드가 확산되며, 추가적인 서버 감염 및 서비스 중단이 발생하는 상황을 가정한다.</t>
    <phoneticPr fontId="2" type="noConversion"/>
  </si>
  <si>
    <t>랜섬웨어 감염이 확인되었을 때 감염된 단말 및 서버를 네트워크에서 신속하게 격리하여 추가 확산을 차단할 수 있는가?</t>
    <phoneticPr fontId="2" type="noConversion"/>
  </si>
  <si>
    <t>네트워크 분리 및 격리 절차가 체계화되어 있지 않아 랜섬웨어 감염 시스템의 즉각적인 차단이 어려움</t>
    <phoneticPr fontId="2" type="noConversion"/>
  </si>
  <si>
    <t>랜섬웨어 감염 시 감염 단말 및 서버를 즉시 네트워크에서 분리할 수 있도록 네트워크 차단 절차를 수립하고, 보안 장비를 통한 격리 정책을 사전에 구성한다.</t>
    <phoneticPr fontId="2" type="noConversion"/>
  </si>
  <si>
    <t>네트워크 접근통제</t>
    <phoneticPr fontId="2" type="noConversion"/>
  </si>
  <si>
    <t>랜섬웨어로 인해 암호화된 DB 서버 데이터로 인해 서비스가 중단된 이후, 백업 데이터를 활용한 복구를 시도하였으나 백업 주기, 무결성 검증 또는 복구 절차 미흡으로 인해 서비스 정상화가 지연되는 상황을 가정한다.</t>
    <phoneticPr fontId="2" type="noConversion"/>
  </si>
  <si>
    <t>랜섬웨어 감염 이후 백업 데이터를 활용하여 DB 서버 서비스를 목표 시간 내에 정상적으로 복구할 수 있는가?</t>
    <phoneticPr fontId="2" type="noConversion"/>
  </si>
  <si>
    <t>백업 데이터의 주기적 점검 및 복구 테스트가 수행되지 않아 사고 발생 시 신속한 DB 서버 복구가 어려움</t>
    <phoneticPr fontId="2" type="noConversion"/>
  </si>
  <si>
    <t>백업 및 복구</t>
    <phoneticPr fontId="2" type="noConversion"/>
  </si>
  <si>
    <t>DB 서버에 대한 정기적인 백업 정책을 수립하고, 백업 데이터의 무결성 점검 및 복구 테스트를 주기적으로 수행하여 사고 발생 시 신속한 서비스 복구가 가능하도록 한다.</t>
    <phoneticPr fontId="2" type="noConversion"/>
  </si>
  <si>
    <t>랜섬웨어 사고 이후 원인 분석 및 보안 통제 개선이 충분히 이루어지지 않아, 동일한 감염 경로 또는 유사한 보안 취약점을 통해 다시 랜섬웨어 감염 및 DB 서버 서비스 중단 사고가 발생할 수 있는 상황을 가정한다.</t>
    <phoneticPr fontId="2" type="noConversion"/>
  </si>
  <si>
    <t>랜섬웨어 사고 이후 감염 원인에 대한 분석과 보안 통제 개선을 통해 동일 유형의 사고 재발을 예방할 수 있는 체계가 마련되어 있는가?</t>
    <phoneticPr fontId="2" type="noConversion"/>
  </si>
  <si>
    <t>랜섬웨어 사고에 대한 근본 원인 분석 및 재발 방지를 위한 통제 개선 활동이 체계적으로 수행되지 않음</t>
    <phoneticPr fontId="2" type="noConversion"/>
  </si>
  <si>
    <t>보안 관리체계 운영</t>
  </si>
  <si>
    <t>랜섬웨어 사고 발생 시 근본 원인 분석 절차를 수립하고, 분석 결과를 기반으로 단말 보안 강화, 접근통제 개선, 사고 대응 절차 보완 등 재발 방지 대책을 지속적으로 반영한다.</t>
    <phoneticPr fontId="2" type="noConversion"/>
  </si>
  <si>
    <t>본 사고시나리오 분석의 대상은 회사 내부자의 권한 오남용으로 인해 유출 또는 탈취될 수 있는 회원 개인정보이며, 해당 개인정보가 저장·처리되는 개인정보 DB, 이를 조회·처리할 수 있는 내부 업무 계정, 그리고 접근 행위를 확인하기 위한 접근 및 조회 로그 데이터를 포함한다.</t>
    <phoneticPr fontId="2" type="noConversion"/>
  </si>
  <si>
    <t>본 분석은 회사 내부자의 권한 오남용으로 인해 유출·탈취 될 수 있는 개인정보를 대상으로 하며, 자산목록을 기반으로 기밀성(C)을 중심으로 분석한다. 또한 사고 탐지 밎 대응 과정에서의 개인정보의 무결성(I)훼손 가능성과, 사고 대응·조치 과정에서 발생할 수 있는 업무 및 서비스 가용성(A)에 대한 영향 여부를 함께 검토한다. 
분석 범위는 개인정보 유출 사고탐지, 초기대응, 확산 방지, 복구, 재발 방지 단계로 한정한다.</t>
    <phoneticPr fontId="2" type="noConversion"/>
  </si>
  <si>
    <t>본 사고는 퇴사 예정 직원이 기존 접근 권한을 이용해 회원 개인정보 DB에 접근하여 업무 목적 외로 개인정보를 무단 열람한 상황을 가정한다.
해당 직원은 권한 회수 이전 상태로 내부 시스템에 접근 가능하며, 이 과정에서 개인정보에 대한 대량 조회 또는 반복 조회가 발생할 수 있다. 본 시나리오는 외부 침해가 아닌 내부자의 정상 권한 오남용 상황을 전제로 하여, 조직의 접근통제, 로그 관리, 내부자 통제, 사고 탐지 및 대응 체계가 실제 사고 상황에서 유효하게 작동 가능한지를 검증하는 데 목적이 있다.</t>
    <phoneticPr fontId="2" type="noConversion"/>
  </si>
  <si>
    <t>기밀성(C)</t>
    <phoneticPr fontId="2" type="noConversion"/>
  </si>
  <si>
    <t>퇴사 예정 직원이 기존 접근 권한을 이용해 회원 개인정보 DB에 접근하여 업무 목적 외로 개인정보 DB열람한 상황을 가정한다.</t>
    <phoneticPr fontId="2" type="noConversion"/>
  </si>
  <si>
    <t>내부자의 비정상 열람을 탐지할 수 있는가?</t>
    <phoneticPr fontId="2" type="noConversion"/>
  </si>
  <si>
    <t>접근통제·모니터링</t>
    <phoneticPr fontId="2" type="noConversion"/>
  </si>
  <si>
    <t>정보시스템 오∙남용(비인가접속, 과다조회 등), 부정행위 등 이상징후를 인지할 수 있도록 로그 검토 주기, 대상, 방법 등을 포함한 로그 검토 및 모니터링 절차를 수립 및 강화한다.</t>
    <phoneticPr fontId="2" type="noConversion"/>
  </si>
  <si>
    <t>정보시스템 오∙남용(비인가접속, 과다조회 등), 부정행위 등 이상징후를 신속히 인지하지 못함</t>
    <phoneticPr fontId="2" type="noConversion"/>
  </si>
  <si>
    <t>퇴사 예정 직원의 개인정보 무단 열람 행위가 로그 분석을 통해 확인된 이후, 해당 직원의 접근 권한을 즉시 회수하지 못하고 내부 보고 및 대응이 지연되어 추가적인 개인정보 열람 가능성이 존재하는 상황을 가정한다.</t>
    <phoneticPr fontId="2" type="noConversion"/>
  </si>
  <si>
    <t>내부자의 개인정보 무단 열람 행위가 확인된 경우, 해당 계정의 접근 차단 및 권한 회수, 내부 보고 등 초기 대응 조치를 수행할 수 있는가?</t>
    <phoneticPr fontId="2" type="noConversion"/>
  </si>
  <si>
    <t>개인정보 무단 열람 행위 인지 이후 계정 차단, 권한 회수, 내부 보고 등의 초기 대응 절차가 명확하지 않아 즉각적인 통제가 이루어지지 않음</t>
    <phoneticPr fontId="2" type="noConversion"/>
  </si>
  <si>
    <t>내부자에 의한 개인정보 오남용 사고 발생 시 즉시 수행해야 할 계정 차단, 권한 회수, 로그 보존 및 내부 보고 절차를 포함한 초기 대응 절차를 수립하고, 정기적인 점검을 통해 대응 체계를 강화한다.</t>
    <phoneticPr fontId="2" type="noConversion"/>
  </si>
  <si>
    <t>퇴사 예정 직원의 개인정보 무단 열람 행위가 확인된 이후에도 동일 계정 또는 유사한 권한을 가진 다른 내부 계정에 대한 추가 통제가 이루어지지 않아, 추가적인 개인정보 열람 및 유출 가능성이 지속되는 상황을 가정한다.</t>
  </si>
  <si>
    <t>내부자에 의한 개인정보 오남용 사고 발생 시 동일 계정의 추가 열람 및 유사 권한을 가진 다른 계정의 개인정보 접근을 차단하여 피해 확산을 방지할 수 있는가?</t>
    <phoneticPr fontId="2" type="noConversion"/>
  </si>
  <si>
    <t>개인정보 접근 권한에 대한 세분화 및 유사 권한 계정에 대한 점검 체계가 미흡하여 추가적인 개인정보 열람을 즉시 차단하기 어려움</t>
    <phoneticPr fontId="2" type="noConversion"/>
  </si>
  <si>
    <t>개인정보 접근 권한을 최소권한 원칙에 따라 재정비하고, 내부자 오남용 사고 발생 시 유사 권한 계정에 대한 일괄 점검 및 접근 통제를 수행할 수 있는 절차를 수립한다.</t>
    <phoneticPr fontId="2" type="noConversion"/>
  </si>
  <si>
    <t>기밀성(C), 무결성(I)</t>
    <phoneticPr fontId="2" type="noConversion"/>
  </si>
  <si>
    <t>개인정보 무단 열람 사고 이후 관련 계정의 접근은 차단되었으나, 열람된 개인정보의 범위 및 유출, 변조 여부에 대한 명확한 파악이 이루어지지 않아 개인정보 보호 통제가 정상 상태로 회복되었는지 판단하기 어려운 상황을 가정한다.</t>
    <phoneticPr fontId="2" type="noConversion"/>
  </si>
  <si>
    <t>개인정보 무단 열람 사고 이후 열람된 개인정보의 범위를 정확히 파악하고, 접근 통제를 정상 상태로 복구할 수 있는가?</t>
  </si>
  <si>
    <t>개인정보 접근 및 열람 이력에 대한 기록이 충분하지 않아 사고 이후 열람 범위 및 유출 여부를 명확히 파악하는 데 한계가 있음</t>
    <phoneticPr fontId="2" type="noConversion"/>
  </si>
  <si>
    <t>개인정보 접근 및 열람 이력을 상세히 기록·보존할 수 있도록 로그 관리 체계를 강화하고, 사고 발생 시 개인정보 열람 범위를 신속히 산정하여 통제가 정상적으로 복구되었는지 확인할 수 있도록 절차를 마련한다.</t>
  </si>
  <si>
    <t>개인정보 무단 열람 사고 이후 사고 원인에 대한 체계적인 분석과 권한 관리 개선이 이루어지지 않아, 퇴사 예정자 또는 유사 권한을 가진 내부자에 의해 동일한 유형의 개인정보 오남용 사고가 다시 발생할 수 있는 상황을 가정한다.</t>
    <phoneticPr fontId="2" type="noConversion"/>
  </si>
  <si>
    <t>개인정보 무단 열람 사고 이후 사고 원인을 분석하고, 권한 관리 및 내부자 통제를 개선하여 동일 유형의 사고 재발을 예방할 수 있는 체계가 마련되어 있는가?</t>
    <phoneticPr fontId="2" type="noConversion"/>
  </si>
  <si>
    <t>퇴사자 및 내부자에 대한 접근 권한 관리와 정기적인 권한 점검 체계가 미흡하여 사고 재발을 사전에 예방하기 어려움</t>
  </si>
  <si>
    <t>퇴사 예정자 및 직무 변경자에 대한 접근 권한 회수 절차를 강화하고, 개인정보 접근 권한에 대한 정기적인 점검 및 승인 절차를 운영하여 내부자 오남용 사고의 재발을 예방한다.</t>
    <phoneticPr fontId="2" type="noConversion"/>
  </si>
  <si>
    <t>위험 등급 상/중/하 정의 (DoA: Degree of Acceptance)</t>
    <phoneticPr fontId="2" type="noConversion"/>
  </si>
  <si>
    <t>3 ~ 5</t>
    <phoneticPr fontId="2" type="noConversion"/>
  </si>
  <si>
    <t>중</t>
    <phoneticPr fontId="2" type="noConversion"/>
  </si>
  <si>
    <t>하</t>
    <phoneticPr fontId="2" type="noConversion"/>
  </si>
  <si>
    <t>상</t>
    <phoneticPr fontId="2" type="noConversion"/>
  </si>
  <si>
    <r>
      <t>계획 조치.</t>
    </r>
    <r>
      <rPr>
        <sz val="11"/>
        <color theme="1"/>
        <rFont val="맑은 고딕"/>
        <family val="3"/>
        <charset val="129"/>
        <scheme val="major"/>
      </rPr>
      <t xml:space="preserve"> 정기 보안 점검 시 보완 및 상시 모니터링</t>
    </r>
    <phoneticPr fontId="2" type="noConversion"/>
  </si>
  <si>
    <r>
      <t>현상 유지.</t>
    </r>
    <r>
      <rPr>
        <sz val="11"/>
        <color theme="1"/>
        <rFont val="맑은 고딕"/>
        <family val="3"/>
        <charset val="129"/>
        <scheme val="major"/>
      </rPr>
      <t xml:space="preserve"> 현행 보안 수준을 유지하며 주기적 리뷰</t>
    </r>
    <phoneticPr fontId="2" type="noConversion"/>
  </si>
  <si>
    <r>
      <t>현상 유지.</t>
    </r>
    <r>
      <rPr>
        <sz val="11"/>
        <color theme="1"/>
        <rFont val="맑은 고딕"/>
        <family val="3"/>
        <charset val="129"/>
      </rPr>
      <t xml:space="preserve"> 현행 보안 수준을 유지하며 주기적 리뷰</t>
    </r>
    <phoneticPr fontId="2" type="noConversion"/>
  </si>
  <si>
    <r>
      <t>계획 조치.</t>
    </r>
    <r>
      <rPr>
        <sz val="11"/>
        <color theme="1"/>
        <rFont val="맑은 고딕"/>
        <family val="3"/>
        <charset val="129"/>
      </rPr>
      <t xml:space="preserve"> 정기 보안 점검 시 보완 및 상시 모니터링</t>
    </r>
    <phoneticPr fontId="2" type="noConversion"/>
  </si>
  <si>
    <r>
      <t>우선 조치.</t>
    </r>
    <r>
      <rPr>
        <sz val="11"/>
        <color theme="1"/>
        <rFont val="맑은 고딕"/>
        <family val="3"/>
        <charset val="129"/>
      </rPr>
      <t xml:space="preserve"> 빠른 시일 내에 보안 대책 수립 및 예산 반영</t>
    </r>
    <phoneticPr fontId="2" type="noConversion"/>
  </si>
  <si>
    <t>6 ~ 9</t>
    <phoneticPr fontId="2" type="noConversion"/>
  </si>
  <si>
    <r>
      <t>즉시 조치.</t>
    </r>
    <r>
      <rPr>
        <sz val="11"/>
        <color theme="1"/>
        <rFont val="맑은 고딕"/>
        <family val="3"/>
        <charset val="129"/>
      </rPr>
      <t xml:space="preserve"> 보안 사고 발생 가능성이 매우 높으며 경영진 보고 필요</t>
    </r>
    <phoneticPr fontId="2" type="noConversion"/>
  </si>
  <si>
    <r>
      <t xml:space="preserve">즉시 조치. </t>
    </r>
    <r>
      <rPr>
        <sz val="11"/>
        <color theme="1"/>
        <rFont val="맑은 고딕"/>
        <family val="3"/>
        <charset val="129"/>
        <scheme val="major"/>
      </rPr>
      <t>보안 사고 발생 가능성이 매우 높으며 경영진 보고 필요</t>
    </r>
    <phoneticPr fontId="2" type="noConversion"/>
  </si>
  <si>
    <t>수용, 로그데이터 접근 실시간 모니터링</t>
    <phoneticPr fontId="2" type="noConversion"/>
  </si>
  <si>
    <t>비고</t>
    <phoneticPr fontId="2" type="noConversion"/>
  </si>
  <si>
    <t>비식별화된 테스트 데이터 사용으로 정보 유출 시 영향도가 낮아 위험을 수용함</t>
    <phoneticPr fontId="2" type="noConversion"/>
  </si>
  <si>
    <t>우선순위</t>
    <phoneticPr fontId="2" type="noConversion"/>
  </si>
  <si>
    <t>비고</t>
    <phoneticPr fontId="2" type="noConversion"/>
  </si>
  <si>
    <t>MFA 미적용 상태는 계정 탈취 시 대량 개인정보 침해로 직결될 수 있어 최우선 개선 대상으로 판단함</t>
    <phoneticPr fontId="2" type="noConversion"/>
  </si>
  <si>
    <t>최소 권한 원칙 미준수는 상시적인 개인정보 노출 가능성을 
내포하므로 인증 다음 단계로 우선 개선 필요</t>
    <phoneticPr fontId="2" type="noConversion"/>
  </si>
  <si>
    <t>직무 분리 미흡은 내부자 오남용 사고의 주요 원인으로,
접근통제와 연계하여 조속한 개선이 필요함</t>
    <phoneticPr fontId="2" type="noConversion"/>
  </si>
  <si>
    <t>저장 데이터 보호 측면에서 중요하나,
접근 통제 미흡에 비해 상대적으로 후순위로 판단함</t>
    <phoneticPr fontId="2" type="noConversion"/>
  </si>
  <si>
    <t>예방보다는 대응 영역에 해당하여
핵심 접근 통제 개선 이후 단계적 보완 대상으로 분류함</t>
    <phoneticPr fontId="2" type="noConversion"/>
  </si>
  <si>
    <t>운영 안정성 확보 차원에서 중요하나
침해 예방 관점에서는 중기 개선 대상으로 판단함</t>
    <phoneticPr fontId="2" type="noConversion"/>
  </si>
  <si>
    <t>정기 점검 체계 수립을 통해 중장기적으로 개선 필요</t>
    <phoneticPr fontId="2" type="noConversion"/>
  </si>
  <si>
    <t>계약·관리 체계 정비를 통한 단계적 개선이 적절함</t>
    <phoneticPr fontId="2" type="noConversion"/>
  </si>
  <si>
    <t>운영 정책 정비 중심의 개선 대상으로 분류함</t>
    <phoneticPr fontId="2" type="noConversion"/>
  </si>
  <si>
    <t>선제적 보안 통제 강화 이후 교육·훈련 중심으로 고도화 필요</t>
    <phoneticPr fontId="2" type="noConversion"/>
  </si>
  <si>
    <t>GAP 분석 종합 판단</t>
  </si>
  <si>
    <t>반면, 로그 관리, 백업·복구, 외부 인력 관리 등은 기본적인 운영은 이루어지고 있으나 절차 및 기준의 명확화가 필요한 영역으로 판단되어 중기 개선 과제로 분류하였다.</t>
  </si>
  <si>
    <t>본 GAP 분석 결과, 인증·접근통제·권한관리 영역에서의 미흡 사항이 다수 확인되었으며, 
이는 개인정보처리시스템 및 중요 정보자산에 대한 비인가 접근 및 권한 오남용 위험으로 직결될 수 있는 핵심 통제 영역으로 판단된다.</t>
    <phoneticPr fontId="2" type="noConversion"/>
  </si>
  <si>
    <t>특히, 최소 권한 원칙 미적용, 강화된 인증 수단(MFA) 부재, 직무 분리 미흡 등은 단일 통제 실패 시 
대규모 개인정보 침해 사고로 확산될 가능성이 높은 영역으로, 기술적·관리적 보호조치 전반에 영향을 미치는 선결 과제로 판단하였다.</t>
    <phoneticPr fontId="2" type="noConversion"/>
  </si>
  <si>
    <t>시나리오 선정 사유</t>
    <phoneticPr fontId="2" type="noConversion"/>
  </si>
  <si>
    <t>최근 사이버 보안 위협 전망에 따르면 랜섬웨어는 단순한 악성코드가 아닌, 방어 및 복구 체계를 무력화하고 핵심 시스템의 가용성을 직접적으로 마비시키는 산업화된 공격 형태로 진화하고 있으며, 특히 랜섬웨어 서비스(RaaS)의 확산으로 공격 진입장벽이 낮아지고 검증된 공격 기법이 반복·동시다발적으로 활용되는 구조적 위협으로 자리 잡고 있다.
특히 DB 서버는 회원, 주문, 결제 등 서비스 전반의 핵심 데이터를 처리하는 자산으로, 랜섬웨어 감염 시 단일 사고가 전사적 서비스 중단으로 확대될 가능성이 높다.
이에 본 시나리오는 DB 서버 가용성 침해를 중심으로 랜섬웨어 사고를 설정하여, 로그·모니터링, 사고 대응 절차, 네트워크 분리, 백업·복구 체계 등 주요 통제가 실제 사고 상황에서 유효하게 작동하는지를 점검하기 위해 선정하였다.</t>
    <phoneticPr fontId="2" type="noConversion"/>
  </si>
  <si>
    <t>최근 신한카드 개인정보 유출 사건에서는 외부 해킹이 아닌 내부 직원의 정상 권한 오남용으로 가맹점 대표 개인정보가 장기간 유출된 정황이 확인되었다. 이 사례는 내부자의 권한 범위가 적절히 통제·모니터링되지 않을 경우, 업무 목적 외의 접근·열람이 장기간 누적되어 유출로 이어질 위험이 있다는 구조적 교훈을 제공한다.
본 시나리오는 이러한 내부자 오남용 리스크를 현실적인 사고로 모델링하여, 접근통제, 권한 회수, 로그 분석 등의 통제 체계가 효과적으로 작동하는지를 검증하기 위해 선정하였다.</t>
    <phoneticPr fontId="2" type="noConversion"/>
  </si>
  <si>
    <t>직접적인 피해 가능성이 낮으므로 위험을 수용함</t>
    <phoneticPr fontId="2" type="noConversion"/>
  </si>
  <si>
    <t>기본 통제는 존재, 로그 정보의 민감도가 낮으므로 위험을 수용함</t>
    <phoneticPr fontId="2" type="noConversion"/>
  </si>
  <si>
    <t>자산중요도(2) x 취약도(2) = 보통(4)</t>
    <phoneticPr fontId="2" type="noConversion"/>
  </si>
  <si>
    <t>출입통제 시스템 고장시 수리 절차 명시</t>
    <phoneticPr fontId="2" type="noConversion"/>
  </si>
  <si>
    <t>출입통제정책 강화, 출입통제관리대장 작성</t>
    <phoneticPr fontId="2" type="noConversion"/>
  </si>
  <si>
    <t>설정·검토 절차 재수립</t>
    <phoneticPr fontId="2" type="noConversion"/>
  </si>
  <si>
    <t>위험분석보고서</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</si>
</sst>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sz val="11"/>
      <color theme="1"/>
      <name val="맑은 고딕"/>
      <family val="3"/>
      <charset val="129"/>
      <scheme val="minor"/>
    </font>
    <font>
      <sz val="10"/>
      <name val="맑은 고딕"/>
      <family val="3"/>
      <charset val="129"/>
    </font>
    <font>
      <b/>
      <sz val="36"/>
      <name val="HY헤드라인M"/>
      <family val="1"/>
      <charset val="129"/>
    </font>
    <font>
      <sz val="8"/>
      <name val="돋움"/>
      <family val="3"/>
      <charset val="129"/>
    </font>
    <font>
      <b/>
      <sz val="20"/>
      <name val="HY헤드라인M"/>
      <family val="1"/>
      <charset val="129"/>
    </font>
    <font>
      <b/>
      <sz val="20"/>
      <name val="맑은 고딕"/>
      <family val="3"/>
      <charset val="129"/>
    </font>
    <font>
      <sz val="24"/>
      <name val="HY헤드라인M"/>
      <family val="1"/>
      <charset val="129"/>
    </font>
    <font>
      <sz val="11"/>
      <name val="돋움"/>
      <family val="3"/>
      <charset val="129"/>
    </font>
    <font>
      <b/>
      <sz val="18"/>
      <color theme="1"/>
      <name val="맑은 고딕"/>
      <family val="3"/>
      <charset val="129"/>
      <scheme val="minor"/>
    </font>
    <font>
      <sz val="15"/>
      <color theme="1"/>
      <name val="맑은 고딕"/>
      <family val="2"/>
      <charset val="129"/>
      <scheme val="minor"/>
    </font>
    <font>
      <sz val="15"/>
      <color theme="1"/>
      <name val="맑은 고딕"/>
      <family val="3"/>
      <charset val="129"/>
      <scheme val="minor"/>
    </font>
    <font>
      <sz val="11"/>
      <name val="맑은 고딕"/>
      <family val="3"/>
      <charset val="129"/>
      <scheme val="minor"/>
    </font>
    <font>
      <sz val="11"/>
      <color theme="1"/>
      <name val="맑은 고딕"/>
      <family val="2"/>
      <charset val="129"/>
      <scheme val="minor"/>
    </font>
    <font>
      <sz val="11"/>
      <color theme="1"/>
      <name val="맑은 고딕"/>
      <family val="2"/>
      <scheme val="minor"/>
    </font>
    <font>
      <sz val="8"/>
      <name val="맑은 고딕"/>
      <family val="3"/>
      <charset val="129"/>
      <scheme val="minor"/>
    </font>
    <font>
      <sz val="11"/>
      <color theme="1"/>
      <name val="맑은 고딕"/>
      <family val="3"/>
      <charset val="129"/>
      <scheme val="major"/>
    </font>
    <font>
      <b/>
      <sz val="14"/>
      <color theme="1"/>
      <name val="맑은 고딕"/>
      <family val="3"/>
      <charset val="129"/>
      <scheme val="minor"/>
    </font>
    <font>
      <b/>
      <sz val="20"/>
      <color theme="1"/>
      <name val="맑은 고딕"/>
      <family val="3"/>
      <charset val="129"/>
      <scheme val="minor"/>
    </font>
    <font>
      <b/>
      <sz val="11"/>
      <color theme="1"/>
      <name val="맑은 고딕"/>
      <family val="3"/>
      <charset val="129"/>
    </font>
    <font>
      <sz val="11"/>
      <color theme="1"/>
      <name val="맑은 고딕"/>
      <family val="3"/>
      <charset val="129"/>
    </font>
    <font>
      <b/>
      <sz val="11"/>
      <color theme="1"/>
      <name val="맑은 고딕"/>
      <family val="3"/>
      <charset val="129"/>
      <scheme val="major"/>
    </font>
    <font>
      <b/>
      <sz val="13.5"/>
      <color theme="1"/>
      <name val="맑은 고딕"/>
      <family val="3"/>
      <charset val="129"/>
      <scheme val="minor"/>
    </font>
    <font>
      <sz val="13"/>
      <color theme="1"/>
      <name val="맑은 고딕"/>
      <family val="2"/>
      <charset val="129"/>
      <scheme val="minor"/>
    </font>
    <font>
      <sz val="13"/>
      <color theme="1"/>
      <name val="맑은 고딕"/>
      <family val="3"/>
      <charset val="129"/>
      <scheme val="minor"/>
    </font>
    <font>
      <b/>
      <sz val="11"/>
      <name val="맑은 고딕"/>
      <family val="3"/>
      <charset val="129"/>
      <scheme val="minor"/>
    </font>
    <font>
      <sz val="11"/>
      <name val="맑은 고딕"/>
      <family val="2"/>
      <charset val="129"/>
      <scheme val="minor"/>
    </font>
  </fonts>
  <fills count="6">
    <fill>
      <patternFill patternType="none"/>
    </fill>
    <fill>
      <patternFill patternType="gray125"/>
    </fill>
    <fill>
      <patternFill patternType="solid">
        <fgColor theme="2" tint="-9.9978637043366805E-2"/>
        <bgColor indexed="64"/>
      </patternFill>
    </fill>
    <fill>
      <patternFill patternType="solid">
        <fgColor rgb="FFFFFFFF"/>
        <bgColor rgb="FF000000"/>
      </patternFill>
    </fill>
    <fill>
      <patternFill patternType="solid">
        <fgColor indexed="9"/>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7">
    <xf numFmtId="0" fontId="0" fillId="0" borderId="0">
      <alignment vertical="center"/>
    </xf>
    <xf numFmtId="0" fontId="16" fillId="0" borderId="0"/>
    <xf numFmtId="0" fontId="3" fillId="0" borderId="0">
      <alignment vertical="center"/>
    </xf>
    <xf numFmtId="0" fontId="3" fillId="0" borderId="0">
      <alignment vertical="center"/>
    </xf>
    <xf numFmtId="0" fontId="3" fillId="0" borderId="0">
      <alignment vertical="center"/>
    </xf>
    <xf numFmtId="0" fontId="10"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5" fillId="0" borderId="0">
      <alignment vertical="center"/>
    </xf>
    <xf numFmtId="0" fontId="10" fillId="0" borderId="0"/>
    <xf numFmtId="0" fontId="3" fillId="0" borderId="0">
      <alignment vertical="center"/>
    </xf>
    <xf numFmtId="0" fontId="3" fillId="0" borderId="0">
      <alignment vertical="center"/>
    </xf>
    <xf numFmtId="0" fontId="15" fillId="0" borderId="0">
      <alignment vertical="center"/>
    </xf>
    <xf numFmtId="0" fontId="15" fillId="0" borderId="0">
      <alignment vertical="center"/>
    </xf>
    <xf numFmtId="0" fontId="15" fillId="0" borderId="0">
      <alignment vertical="center"/>
    </xf>
  </cellStyleXfs>
  <cellXfs count="88">
    <xf numFmtId="0" fontId="0" fillId="0" borderId="0" xfId="0">
      <alignment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3" borderId="0" xfId="0" applyFont="1" applyFill="1" applyAlignment="1"/>
    <xf numFmtId="0" fontId="7" fillId="4" borderId="0" xfId="0" applyFont="1" applyFill="1" applyAlignment="1"/>
    <xf numFmtId="0" fontId="8" fillId="3" borderId="0" xfId="0" applyFont="1" applyFill="1" applyAlignment="1"/>
    <xf numFmtId="0" fontId="9" fillId="3" borderId="0" xfId="0" applyFont="1" applyFill="1" applyAlignment="1"/>
    <xf numFmtId="0" fontId="10" fillId="0" borderId="0" xfId="0" applyFont="1" applyAlignment="1"/>
    <xf numFmtId="0" fontId="1" fillId="0" borderId="0" xfId="0" applyFont="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1" xfId="0" applyBorder="1">
      <alignment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lignment vertical="center"/>
    </xf>
    <xf numFmtId="0" fontId="0" fillId="0" borderId="10" xfId="0" applyBorder="1" applyAlignment="1">
      <alignment horizontal="center" vertical="center"/>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0" borderId="11" xfId="0" applyBorder="1">
      <alignment vertical="center"/>
    </xf>
    <xf numFmtId="0" fontId="0" fillId="0" borderId="12" xfId="0" applyBorder="1">
      <alignment vertical="center"/>
    </xf>
    <xf numFmtId="0" fontId="0" fillId="0" borderId="9" xfId="0" applyBorder="1" applyAlignment="1">
      <alignment horizontal="center" vertical="center"/>
    </xf>
    <xf numFmtId="0" fontId="0" fillId="0" borderId="12" xfId="0"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8" fillId="0" borderId="1" xfId="11" applyFont="1" applyBorder="1" applyAlignment="1">
      <alignment horizontal="left" vertical="center" wrapText="1"/>
    </xf>
    <xf numFmtId="0" fontId="18" fillId="0" borderId="11" xfId="11" applyFont="1" applyBorder="1" applyAlignment="1">
      <alignment horizontal="left" vertical="center" wrapText="1"/>
    </xf>
    <xf numFmtId="0" fontId="0" fillId="0" borderId="1" xfId="0" applyBorder="1" applyAlignment="1">
      <alignment horizontal="left" vertical="center"/>
    </xf>
    <xf numFmtId="0" fontId="1" fillId="0" borderId="8" xfId="0" applyFont="1" applyBorder="1" applyAlignment="1">
      <alignment horizontal="center" vertical="center"/>
    </xf>
    <xf numFmtId="0" fontId="3" fillId="0" borderId="0" xfId="0" applyFont="1">
      <alignment vertical="center"/>
    </xf>
    <xf numFmtId="0" fontId="19" fillId="0" borderId="0" xfId="0" applyFont="1">
      <alignment vertical="center"/>
    </xf>
    <xf numFmtId="0" fontId="0" fillId="0" borderId="1" xfId="0"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20" fillId="0" borderId="0" xfId="0" applyFont="1">
      <alignment vertical="center"/>
    </xf>
    <xf numFmtId="0" fontId="0" fillId="0" borderId="12" xfId="0" applyBorder="1" applyAlignment="1">
      <alignment vertical="center" wrapText="1"/>
    </xf>
    <xf numFmtId="0" fontId="0" fillId="0" borderId="0" xfId="0" applyAlignment="1">
      <alignment vertical="center" wrapText="1"/>
    </xf>
    <xf numFmtId="0" fontId="21"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1" fillId="0" borderId="7" xfId="0" applyFont="1" applyBorder="1" applyAlignment="1">
      <alignment horizontal="center" vertical="center"/>
    </xf>
    <xf numFmtId="0" fontId="0" fillId="0" borderId="1" xfId="0" applyBorder="1" applyAlignment="1">
      <alignment horizontal="left" vertical="center" wrapText="1"/>
    </xf>
    <xf numFmtId="0" fontId="24" fillId="0" borderId="0" xfId="0" applyFont="1">
      <alignment vertical="center"/>
    </xf>
    <xf numFmtId="0" fontId="26" fillId="0" borderId="0" xfId="0" applyFont="1">
      <alignment vertical="center"/>
    </xf>
    <xf numFmtId="0" fontId="11" fillId="0" borderId="0" xfId="0" applyFont="1">
      <alignment vertical="center"/>
    </xf>
    <xf numFmtId="0" fontId="25" fillId="0" borderId="0" xfId="0" applyFont="1" applyAlignment="1">
      <alignment vertical="center" wrapText="1"/>
    </xf>
    <xf numFmtId="0" fontId="25" fillId="0" borderId="0" xfId="0" applyFont="1">
      <alignment vertical="center"/>
    </xf>
    <xf numFmtId="0" fontId="27" fillId="0" borderId="1" xfId="0" applyFont="1" applyBorder="1" applyAlignment="1">
      <alignment horizontal="center" vertical="center" wrapText="1"/>
    </xf>
    <xf numFmtId="0" fontId="5" fillId="4" borderId="0" xfId="0" applyFont="1" applyFill="1" applyAlignment="1">
      <alignment horizontal="center" wrapText="1"/>
    </xf>
    <xf numFmtId="0" fontId="0" fillId="0" borderId="1" xfId="0" applyBorder="1" applyAlignment="1">
      <alignment horizontal="center" vertical="center" wrapText="1"/>
    </xf>
    <xf numFmtId="0" fontId="0" fillId="0" borderId="8" xfId="0" applyBorder="1" applyAlignment="1">
      <alignment horizontal="center" vertical="center"/>
    </xf>
    <xf numFmtId="0" fontId="0" fillId="0" borderId="10" xfId="0"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25" fillId="0" borderId="8"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10" xfId="0" applyFont="1" applyBorder="1" applyAlignment="1">
      <alignment horizontal="center" vertical="center"/>
    </xf>
    <xf numFmtId="0" fontId="25" fillId="0" borderId="11" xfId="0" applyFont="1" applyBorder="1" applyAlignment="1">
      <alignment horizontal="center" vertical="center"/>
    </xf>
    <xf numFmtId="0" fontId="25" fillId="0" borderId="12" xfId="0" applyFont="1" applyBorder="1" applyAlignment="1">
      <alignment horizontal="center" vertical="center"/>
    </xf>
    <xf numFmtId="0" fontId="0" fillId="0" borderId="1" xfId="0" applyBorder="1" applyAlignment="1">
      <alignment horizontal="left" vertical="center" wrapText="1"/>
    </xf>
    <xf numFmtId="0" fontId="0" fillId="0" borderId="9"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 fillId="0" borderId="0" xfId="0" applyFont="1" applyAlignment="1">
      <alignment horizontal="center" vertical="center"/>
    </xf>
    <xf numFmtId="0" fontId="11" fillId="5" borderId="0" xfId="0" applyFont="1" applyFill="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left" vertical="center"/>
    </xf>
    <xf numFmtId="0" fontId="23"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 fillId="2" borderId="1" xfId="0" applyFont="1" applyFill="1" applyBorder="1" applyAlignment="1">
      <alignment horizontal="center" vertical="center"/>
    </xf>
    <xf numFmtId="0" fontId="28" fillId="0" borderId="1" xfId="0" applyFont="1" applyBorder="1" applyAlignment="1">
      <alignment horizontal="center" vertical="center"/>
    </xf>
  </cellXfs>
  <cellStyles count="17">
    <cellStyle name="표준" xfId="0" builtinId="0"/>
    <cellStyle name="표준 10" xfId="13" xr:uid="{00000000-0005-0000-0000-000001000000}"/>
    <cellStyle name="표준 11" xfId="4" xr:uid="{00000000-0005-0000-0000-000002000000}"/>
    <cellStyle name="표준 12" xfId="9" xr:uid="{00000000-0005-0000-0000-000003000000}"/>
    <cellStyle name="표준 13" xfId="16" xr:uid="{00000000-0005-0000-0000-000004000000}"/>
    <cellStyle name="표준 14" xfId="1" xr:uid="{00000000-0005-0000-0000-000005000000}"/>
    <cellStyle name="표준 18" xfId="6" xr:uid="{00000000-0005-0000-0000-000006000000}"/>
    <cellStyle name="표준 19" xfId="5" xr:uid="{00000000-0005-0000-0000-000007000000}"/>
    <cellStyle name="표준 2" xfId="2" xr:uid="{00000000-0005-0000-0000-000008000000}"/>
    <cellStyle name="표준 3" xfId="10" xr:uid="{00000000-0005-0000-0000-000009000000}"/>
    <cellStyle name="표준 4" xfId="3" xr:uid="{00000000-0005-0000-0000-00000A000000}"/>
    <cellStyle name="표준 5" xfId="7" xr:uid="{00000000-0005-0000-0000-00000B000000}"/>
    <cellStyle name="표준 6" xfId="8" xr:uid="{00000000-0005-0000-0000-00000C000000}"/>
    <cellStyle name="표준 7" xfId="12" xr:uid="{00000000-0005-0000-0000-00000D000000}"/>
    <cellStyle name="표준 8" xfId="14" xr:uid="{00000000-0005-0000-0000-00000E000000}"/>
    <cellStyle name="표준 9" xfId="15" xr:uid="{00000000-0005-0000-0000-00000F000000}"/>
    <cellStyle name="표준_인증통제사항통합_0302(11장수정본)_0617점검표(5,7,9) 2" xfId="11"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145676</xdr:colOff>
      <xdr:row>4</xdr:row>
      <xdr:rowOff>44825</xdr:rowOff>
    </xdr:from>
    <xdr:to>
      <xdr:col>21</xdr:col>
      <xdr:colOff>203206</xdr:colOff>
      <xdr:row>27</xdr:row>
      <xdr:rowOff>156882</xdr:rowOff>
    </xdr:to>
    <xdr:pic>
      <xdr:nvPicPr>
        <xdr:cNvPr id="4" name="그림 3">
          <a:extLst>
            <a:ext uri="{FF2B5EF4-FFF2-40B4-BE49-F238E27FC236}">
              <a16:creationId xmlns:a16="http://schemas.microsoft.com/office/drawing/2014/main" id="{FE2ACC2A-1019-B965-C184-96732A796313}"/>
            </a:ext>
          </a:extLst>
        </xdr:cNvPr>
        <xdr:cNvPicPr>
          <a:picLocks noChangeAspect="1"/>
        </xdr:cNvPicPr>
      </xdr:nvPicPr>
      <xdr:blipFill>
        <a:blip xmlns:r="http://schemas.openxmlformats.org/officeDocument/2006/relationships" r:embed="rId1"/>
        <a:stretch>
          <a:fillRect/>
        </a:stretch>
      </xdr:blipFill>
      <xdr:spPr>
        <a:xfrm>
          <a:off x="7474323" y="963707"/>
          <a:ext cx="9627354" cy="525555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view="pageBreakPreview" zoomScaleNormal="100" zoomScaleSheetLayoutView="100" workbookViewId="0">
      <selection activeCell="M10" sqref="M10"/>
    </sheetView>
  </sheetViews>
  <sheetFormatPr defaultRowHeight="16.5"/>
  <sheetData>
    <row r="1" spans="1:8">
      <c r="A1" s="5"/>
      <c r="B1" s="5"/>
      <c r="C1" s="5"/>
      <c r="D1" s="5"/>
      <c r="E1" s="5"/>
      <c r="F1" s="5"/>
      <c r="G1" s="5"/>
      <c r="H1" s="5"/>
    </row>
    <row r="2" spans="1:8">
      <c r="A2" s="5"/>
      <c r="B2" s="5"/>
      <c r="C2" s="5"/>
      <c r="D2" s="5"/>
      <c r="E2" s="5"/>
      <c r="F2" s="5"/>
      <c r="G2" s="5"/>
      <c r="H2" s="5"/>
    </row>
    <row r="3" spans="1:8" ht="46.5">
      <c r="A3" s="5"/>
      <c r="B3" s="54" t="s">
        <v>432</v>
      </c>
      <c r="C3" s="54"/>
      <c r="D3" s="54"/>
      <c r="E3" s="54"/>
      <c r="F3" s="54"/>
      <c r="G3" s="54"/>
      <c r="H3" s="6"/>
    </row>
    <row r="4" spans="1:8">
      <c r="A4" s="5"/>
      <c r="B4" s="5"/>
      <c r="C4" s="5"/>
      <c r="D4" s="5"/>
      <c r="E4" s="5"/>
      <c r="F4" s="5"/>
      <c r="G4" s="5"/>
      <c r="H4" s="5"/>
    </row>
    <row r="5" spans="1:8" ht="31.5">
      <c r="A5" s="5"/>
      <c r="B5" s="7"/>
      <c r="C5" s="7"/>
      <c r="D5" s="7"/>
      <c r="E5" s="7"/>
      <c r="F5" s="7"/>
      <c r="G5" s="7"/>
      <c r="H5" s="7"/>
    </row>
    <row r="6" spans="1:8">
      <c r="A6" s="5"/>
      <c r="B6" s="5"/>
      <c r="C6" s="5"/>
      <c r="D6" s="5"/>
      <c r="E6" s="5"/>
      <c r="F6" s="5"/>
      <c r="G6" s="5"/>
      <c r="H6" s="5"/>
    </row>
    <row r="7" spans="1:8" ht="31.5">
      <c r="A7" s="5"/>
      <c r="B7" s="5"/>
      <c r="C7" s="5"/>
      <c r="D7" s="5"/>
      <c r="E7" s="8"/>
      <c r="F7" s="5"/>
      <c r="G7" s="5"/>
      <c r="H7" s="5"/>
    </row>
    <row r="8" spans="1:8">
      <c r="A8" s="5"/>
      <c r="B8" s="5"/>
      <c r="C8" s="5"/>
      <c r="D8" s="5"/>
      <c r="E8" s="5"/>
      <c r="F8" s="5"/>
      <c r="G8" s="5"/>
      <c r="H8" s="5"/>
    </row>
    <row r="9" spans="1:8">
      <c r="A9" s="5"/>
      <c r="B9" s="5" t="s">
        <v>163</v>
      </c>
      <c r="C9" s="5"/>
      <c r="D9" s="5"/>
      <c r="E9" s="5"/>
      <c r="F9" s="5"/>
      <c r="G9" s="5"/>
      <c r="H9" s="5"/>
    </row>
    <row r="10" spans="1:8">
      <c r="A10" s="5"/>
      <c r="B10" s="5" t="s">
        <v>90</v>
      </c>
      <c r="C10" s="5"/>
      <c r="D10" s="5"/>
      <c r="E10" s="5"/>
      <c r="F10" s="5"/>
      <c r="G10" s="5"/>
      <c r="H10" s="5"/>
    </row>
    <row r="11" spans="1:8">
      <c r="A11" s="5"/>
      <c r="B11" s="5"/>
      <c r="C11" s="9"/>
      <c r="D11" s="5"/>
      <c r="E11" s="5"/>
      <c r="F11" s="5"/>
      <c r="G11" s="5"/>
      <c r="H11" s="5"/>
    </row>
  </sheetData>
  <mergeCells count="1">
    <mergeCell ref="B3:G3"/>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7"/>
  <sheetViews>
    <sheetView zoomScaleNormal="100" workbookViewId="0">
      <selection activeCell="H14" sqref="H14"/>
    </sheetView>
  </sheetViews>
  <sheetFormatPr defaultRowHeight="16.5"/>
  <cols>
    <col min="2" max="2" width="7.375" customWidth="1"/>
    <col min="3" max="3" width="19.25" bestFit="1" customWidth="1"/>
    <col min="4" max="4" width="18.625" bestFit="1" customWidth="1"/>
    <col min="5" max="5" width="29.125" bestFit="1" customWidth="1"/>
    <col min="6" max="6" width="20.25" bestFit="1" customWidth="1"/>
    <col min="7" max="7" width="37.75" bestFit="1" customWidth="1"/>
    <col min="8" max="8" width="37.25" style="11" bestFit="1" customWidth="1"/>
  </cols>
  <sheetData>
    <row r="2" spans="2:10">
      <c r="B2" s="3" t="s">
        <v>0</v>
      </c>
      <c r="C2" s="3" t="s">
        <v>1</v>
      </c>
      <c r="D2" s="3" t="s">
        <v>2</v>
      </c>
      <c r="E2" s="3" t="s">
        <v>3</v>
      </c>
      <c r="F2" s="3" t="s">
        <v>4</v>
      </c>
      <c r="G2" s="3" t="s">
        <v>5</v>
      </c>
      <c r="H2" s="86" t="s">
        <v>139</v>
      </c>
      <c r="I2" s="86"/>
      <c r="J2" s="86"/>
    </row>
    <row r="3" spans="2:10">
      <c r="B3" s="2">
        <v>1</v>
      </c>
      <c r="C3" s="2" t="s">
        <v>6</v>
      </c>
      <c r="D3" s="2" t="s">
        <v>7</v>
      </c>
      <c r="E3" s="2" t="s">
        <v>8</v>
      </c>
      <c r="F3" s="1" t="s">
        <v>9</v>
      </c>
      <c r="G3" s="2" t="s">
        <v>10</v>
      </c>
      <c r="H3" s="12" t="s">
        <v>155</v>
      </c>
      <c r="I3" s="12">
        <v>6</v>
      </c>
      <c r="J3" s="12" t="str">
        <f>IF(I3&gt;=6,"상",IF(I3&gt;=3,"중","하"))</f>
        <v>상</v>
      </c>
    </row>
    <row r="4" spans="2:10" ht="29.25" customHeight="1">
      <c r="B4" s="2">
        <v>2</v>
      </c>
      <c r="C4" s="2" t="s">
        <v>11</v>
      </c>
      <c r="D4" s="2" t="s">
        <v>7</v>
      </c>
      <c r="E4" s="2" t="s">
        <v>200</v>
      </c>
      <c r="F4" s="1" t="s">
        <v>9</v>
      </c>
      <c r="G4" s="2" t="s">
        <v>12</v>
      </c>
      <c r="H4" s="12" t="s">
        <v>155</v>
      </c>
      <c r="I4" s="12">
        <v>6</v>
      </c>
      <c r="J4" s="12" t="str">
        <f>IF(I4&gt;=6,"상",IF(I4&gt;=3,"중","하"))</f>
        <v>상</v>
      </c>
    </row>
    <row r="5" spans="2:10">
      <c r="B5" s="2">
        <v>3</v>
      </c>
      <c r="C5" s="2" t="s">
        <v>13</v>
      </c>
      <c r="D5" s="2" t="s">
        <v>14</v>
      </c>
      <c r="E5" s="2" t="s">
        <v>15</v>
      </c>
      <c r="F5" s="1" t="s">
        <v>9</v>
      </c>
      <c r="G5" s="2" t="s">
        <v>16</v>
      </c>
      <c r="H5" s="12" t="s">
        <v>155</v>
      </c>
      <c r="I5" s="12">
        <v>6</v>
      </c>
      <c r="J5" s="12" t="str">
        <f>IF(I5&gt;=6,"상",IF(I5&gt;=3,"중","하"))</f>
        <v>상</v>
      </c>
    </row>
    <row r="6" spans="2:10">
      <c r="B6" s="2">
        <v>4</v>
      </c>
      <c r="C6" s="2" t="s">
        <v>17</v>
      </c>
      <c r="D6" s="2" t="s">
        <v>18</v>
      </c>
      <c r="E6" s="2" t="s">
        <v>19</v>
      </c>
      <c r="F6" s="1" t="s">
        <v>9</v>
      </c>
      <c r="G6" s="2" t="s">
        <v>20</v>
      </c>
      <c r="H6" s="12" t="s">
        <v>156</v>
      </c>
      <c r="I6" s="12">
        <v>3</v>
      </c>
      <c r="J6" s="12" t="str">
        <f>IF(I6&gt;=6,"상",IF(I6&gt;=3,"중","하"))</f>
        <v>중</v>
      </c>
    </row>
    <row r="7" spans="2:10">
      <c r="B7" s="2">
        <v>5</v>
      </c>
      <c r="C7" s="2" t="s">
        <v>21</v>
      </c>
      <c r="D7" s="2" t="s">
        <v>22</v>
      </c>
      <c r="E7" s="2" t="s">
        <v>23</v>
      </c>
      <c r="F7" s="1" t="s">
        <v>30</v>
      </c>
      <c r="G7" s="2" t="s">
        <v>25</v>
      </c>
      <c r="H7" s="12" t="s">
        <v>162</v>
      </c>
      <c r="I7" s="12">
        <v>2</v>
      </c>
      <c r="J7" s="12" t="str">
        <f>IF(I7&gt;=6,"상",IF(I7&gt;=3,"중","하"))</f>
        <v>하</v>
      </c>
    </row>
  </sheetData>
  <mergeCells count="1">
    <mergeCell ref="H2:J2"/>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7"/>
  <sheetViews>
    <sheetView zoomScale="130" zoomScaleNormal="130" workbookViewId="0">
      <selection activeCell="C25" sqref="C25"/>
    </sheetView>
  </sheetViews>
  <sheetFormatPr defaultRowHeight="16.5"/>
  <cols>
    <col min="2" max="2" width="5.5" bestFit="1" customWidth="1"/>
    <col min="3" max="3" width="16.625" bestFit="1" customWidth="1"/>
    <col min="4" max="4" width="13" bestFit="1" customWidth="1"/>
    <col min="5" max="5" width="19" bestFit="1" customWidth="1"/>
    <col min="6" max="6" width="20.25" bestFit="1" customWidth="1"/>
    <col min="7" max="7" width="29" bestFit="1" customWidth="1"/>
    <col min="9" max="9" width="34.125" bestFit="1" customWidth="1"/>
  </cols>
  <sheetData>
    <row r="2" spans="2:11">
      <c r="B2" s="3" t="s">
        <v>0</v>
      </c>
      <c r="C2" s="3" t="s">
        <v>1</v>
      </c>
      <c r="D2" s="3" t="s">
        <v>2</v>
      </c>
      <c r="E2" s="3" t="s">
        <v>3</v>
      </c>
      <c r="F2" s="3" t="s">
        <v>4</v>
      </c>
      <c r="G2" s="3" t="s">
        <v>5</v>
      </c>
      <c r="H2" s="3" t="s">
        <v>26</v>
      </c>
      <c r="I2" s="86" t="s">
        <v>139</v>
      </c>
      <c r="J2" s="86"/>
      <c r="K2" s="86"/>
    </row>
    <row r="3" spans="2:11">
      <c r="B3" s="2">
        <v>6</v>
      </c>
      <c r="C3" s="2" t="s">
        <v>27</v>
      </c>
      <c r="D3" s="2" t="s">
        <v>28</v>
      </c>
      <c r="E3" s="2" t="s">
        <v>29</v>
      </c>
      <c r="F3" s="1" t="s">
        <v>30</v>
      </c>
      <c r="G3" s="2" t="s">
        <v>31</v>
      </c>
      <c r="H3" s="2" t="s">
        <v>45</v>
      </c>
      <c r="I3" s="12" t="s">
        <v>158</v>
      </c>
      <c r="J3" s="12">
        <v>6</v>
      </c>
      <c r="K3" s="12" t="str">
        <f>IF(J3&gt;=6,"상",IF(J3&gt;=3,"중","하"))</f>
        <v>상</v>
      </c>
    </row>
    <row r="4" spans="2:11">
      <c r="B4" s="2">
        <v>7</v>
      </c>
      <c r="C4" s="2" t="s">
        <v>32</v>
      </c>
      <c r="D4" s="2" t="s">
        <v>28</v>
      </c>
      <c r="E4" s="2" t="s">
        <v>33</v>
      </c>
      <c r="F4" s="1" t="s">
        <v>30</v>
      </c>
      <c r="G4" s="2" t="s">
        <v>34</v>
      </c>
      <c r="H4" s="2" t="s">
        <v>46</v>
      </c>
      <c r="I4" s="12" t="s">
        <v>158</v>
      </c>
      <c r="J4" s="12">
        <v>6</v>
      </c>
      <c r="K4" s="12" t="str">
        <f t="shared" ref="K4:K7" si="0">IF(J4&gt;=6,"상",IF(J4&gt;=3,"중","하"))</f>
        <v>상</v>
      </c>
    </row>
    <row r="5" spans="2:11">
      <c r="B5" s="2">
        <v>8</v>
      </c>
      <c r="C5" s="2" t="s">
        <v>35</v>
      </c>
      <c r="D5" s="2" t="s">
        <v>28</v>
      </c>
      <c r="E5" s="2" t="s">
        <v>36</v>
      </c>
      <c r="F5" s="1" t="s">
        <v>9</v>
      </c>
      <c r="G5" s="2" t="s">
        <v>37</v>
      </c>
      <c r="H5" s="2" t="s">
        <v>46</v>
      </c>
      <c r="I5" s="12" t="s">
        <v>155</v>
      </c>
      <c r="J5" s="12">
        <v>6</v>
      </c>
      <c r="K5" s="12" t="str">
        <f t="shared" si="0"/>
        <v>상</v>
      </c>
    </row>
    <row r="6" spans="2:11">
      <c r="B6" s="2">
        <v>9</v>
      </c>
      <c r="C6" s="2" t="s">
        <v>38</v>
      </c>
      <c r="D6" s="2" t="s">
        <v>39</v>
      </c>
      <c r="E6" s="2" t="s">
        <v>40</v>
      </c>
      <c r="F6" s="1" t="s">
        <v>9</v>
      </c>
      <c r="G6" s="2" t="s">
        <v>41</v>
      </c>
      <c r="H6" s="2" t="s">
        <v>47</v>
      </c>
      <c r="I6" s="12" t="s">
        <v>157</v>
      </c>
      <c r="J6" s="12">
        <v>9</v>
      </c>
      <c r="K6" s="12" t="str">
        <f t="shared" si="0"/>
        <v>상</v>
      </c>
    </row>
    <row r="7" spans="2:11">
      <c r="B7" s="2">
        <v>10</v>
      </c>
      <c r="C7" s="2" t="s">
        <v>42</v>
      </c>
      <c r="D7" s="2" t="s">
        <v>28</v>
      </c>
      <c r="E7" s="2" t="s">
        <v>43</v>
      </c>
      <c r="F7" s="1" t="s">
        <v>24</v>
      </c>
      <c r="G7" s="2" t="s">
        <v>44</v>
      </c>
      <c r="H7" s="2" t="s">
        <v>48</v>
      </c>
      <c r="I7" s="12" t="s">
        <v>159</v>
      </c>
      <c r="J7" s="12">
        <v>2</v>
      </c>
      <c r="K7" s="12" t="str">
        <f t="shared" si="0"/>
        <v>하</v>
      </c>
    </row>
  </sheetData>
  <mergeCells count="1">
    <mergeCell ref="I2:K2"/>
  </mergeCells>
  <phoneticPr fontId="2" type="noConversion"/>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7"/>
  <sheetViews>
    <sheetView zoomScaleNormal="100" workbookViewId="0">
      <selection activeCell="G19" sqref="G19:H19"/>
    </sheetView>
  </sheetViews>
  <sheetFormatPr defaultRowHeight="16.5"/>
  <cols>
    <col min="2" max="2" width="9.875" bestFit="1" customWidth="1"/>
    <col min="3" max="3" width="18.625" bestFit="1" customWidth="1"/>
    <col min="4" max="4" width="18.625" customWidth="1"/>
    <col min="5" max="5" width="36.625" bestFit="1" customWidth="1"/>
    <col min="6" max="6" width="27.75" bestFit="1" customWidth="1"/>
    <col min="7" max="7" width="20.25" bestFit="1" customWidth="1"/>
    <col min="8" max="8" width="23.5" bestFit="1" customWidth="1"/>
    <col min="10" max="10" width="34.125" bestFit="1" customWidth="1"/>
  </cols>
  <sheetData>
    <row r="2" spans="2:12">
      <c r="B2" s="3" t="s">
        <v>0</v>
      </c>
      <c r="C2" s="3" t="s">
        <v>1</v>
      </c>
      <c r="D2" s="3" t="s">
        <v>2</v>
      </c>
      <c r="E2" s="3" t="s">
        <v>84</v>
      </c>
      <c r="F2" s="3" t="s">
        <v>3</v>
      </c>
      <c r="G2" s="3" t="s">
        <v>4</v>
      </c>
      <c r="H2" s="3" t="s">
        <v>5</v>
      </c>
      <c r="I2" s="3" t="s">
        <v>53</v>
      </c>
      <c r="J2" s="86" t="s">
        <v>139</v>
      </c>
      <c r="K2" s="86"/>
      <c r="L2" s="86"/>
    </row>
    <row r="3" spans="2:12">
      <c r="B3" s="2">
        <v>11</v>
      </c>
      <c r="C3" s="2" t="s">
        <v>49</v>
      </c>
      <c r="D3" s="2" t="s">
        <v>50</v>
      </c>
      <c r="E3" s="2" t="s">
        <v>50</v>
      </c>
      <c r="F3" s="2" t="s">
        <v>51</v>
      </c>
      <c r="G3" s="1" t="s">
        <v>24</v>
      </c>
      <c r="H3" s="2" t="s">
        <v>52</v>
      </c>
      <c r="I3" s="2" t="s">
        <v>89</v>
      </c>
      <c r="J3" s="12" t="s">
        <v>160</v>
      </c>
      <c r="K3" s="12">
        <v>3</v>
      </c>
      <c r="L3" s="12" t="str">
        <f>IF(K3&gt;=6,"상",IF(K3&gt;=3,"중","하"))</f>
        <v>중</v>
      </c>
    </row>
    <row r="4" spans="2:12" ht="33">
      <c r="B4" s="2">
        <v>12</v>
      </c>
      <c r="C4" s="2" t="s">
        <v>67</v>
      </c>
      <c r="D4" s="2" t="s">
        <v>68</v>
      </c>
      <c r="E4" s="2" t="s">
        <v>69</v>
      </c>
      <c r="F4" s="2" t="s">
        <v>70</v>
      </c>
      <c r="G4" s="1" t="s">
        <v>24</v>
      </c>
      <c r="H4" s="2" t="s">
        <v>71</v>
      </c>
      <c r="I4" s="4" t="s">
        <v>85</v>
      </c>
      <c r="J4" s="12" t="s">
        <v>160</v>
      </c>
      <c r="K4" s="12">
        <v>3</v>
      </c>
      <c r="L4" s="12" t="str">
        <f t="shared" ref="L4:L7" si="0">IF(K4&gt;=6,"상",IF(K4&gt;=3,"중","하"))</f>
        <v>중</v>
      </c>
    </row>
    <row r="5" spans="2:12" ht="33">
      <c r="B5" s="2">
        <v>13</v>
      </c>
      <c r="C5" s="2" t="s">
        <v>72</v>
      </c>
      <c r="D5" s="2" t="s">
        <v>68</v>
      </c>
      <c r="E5" s="2" t="s">
        <v>73</v>
      </c>
      <c r="F5" s="2" t="s">
        <v>74</v>
      </c>
      <c r="G5" s="1" t="s">
        <v>24</v>
      </c>
      <c r="H5" s="2" t="s">
        <v>75</v>
      </c>
      <c r="I5" s="4" t="s">
        <v>86</v>
      </c>
      <c r="J5" s="12" t="s">
        <v>160</v>
      </c>
      <c r="K5" s="12">
        <v>3</v>
      </c>
      <c r="L5" s="12" t="str">
        <f t="shared" si="0"/>
        <v>중</v>
      </c>
    </row>
    <row r="6" spans="2:12">
      <c r="B6" s="2">
        <v>14</v>
      </c>
      <c r="C6" s="2" t="s">
        <v>76</v>
      </c>
      <c r="D6" s="2" t="s">
        <v>68</v>
      </c>
      <c r="E6" s="2" t="s">
        <v>77</v>
      </c>
      <c r="F6" s="2" t="s">
        <v>78</v>
      </c>
      <c r="G6" s="1" t="s">
        <v>24</v>
      </c>
      <c r="H6" s="2" t="s">
        <v>79</v>
      </c>
      <c r="I6" s="4" t="s">
        <v>87</v>
      </c>
      <c r="J6" s="12" t="s">
        <v>249</v>
      </c>
      <c r="K6" s="12">
        <v>3</v>
      </c>
      <c r="L6" s="12" t="str">
        <f t="shared" si="0"/>
        <v>중</v>
      </c>
    </row>
    <row r="7" spans="2:12">
      <c r="B7" s="2">
        <v>15</v>
      </c>
      <c r="C7" s="2" t="s">
        <v>80</v>
      </c>
      <c r="D7" s="2" t="s">
        <v>68</v>
      </c>
      <c r="E7" s="2" t="s">
        <v>81</v>
      </c>
      <c r="F7" s="2" t="s">
        <v>82</v>
      </c>
      <c r="G7" s="1" t="s">
        <v>30</v>
      </c>
      <c r="H7" s="2" t="s">
        <v>83</v>
      </c>
      <c r="I7" s="4" t="s">
        <v>88</v>
      </c>
      <c r="J7" s="12" t="s">
        <v>161</v>
      </c>
      <c r="K7" s="12">
        <v>6</v>
      </c>
      <c r="L7" s="12" t="str">
        <f t="shared" si="0"/>
        <v>상</v>
      </c>
    </row>
  </sheetData>
  <mergeCells count="1">
    <mergeCell ref="J2:L2"/>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7"/>
  <sheetViews>
    <sheetView workbookViewId="0">
      <selection activeCell="H17" sqref="H17"/>
    </sheetView>
  </sheetViews>
  <sheetFormatPr defaultRowHeight="16.5"/>
  <cols>
    <col min="2" max="2" width="5.5" bestFit="1" customWidth="1"/>
    <col min="3" max="3" width="21" bestFit="1" customWidth="1"/>
    <col min="4" max="4" width="9.25" bestFit="1" customWidth="1"/>
    <col min="5" max="5" width="21.375" bestFit="1" customWidth="1"/>
    <col min="6" max="6" width="18.75" bestFit="1" customWidth="1"/>
    <col min="7" max="7" width="23.125" bestFit="1" customWidth="1"/>
    <col min="8" max="8" width="34.125" bestFit="1" customWidth="1"/>
  </cols>
  <sheetData>
    <row r="2" spans="2:10">
      <c r="B2" s="3" t="s">
        <v>0</v>
      </c>
      <c r="C2" s="3" t="s">
        <v>1</v>
      </c>
      <c r="D2" s="3" t="s">
        <v>2</v>
      </c>
      <c r="E2" s="3" t="s">
        <v>3</v>
      </c>
      <c r="F2" s="3" t="s">
        <v>4</v>
      </c>
      <c r="G2" s="3" t="s">
        <v>5</v>
      </c>
      <c r="H2" s="86" t="s">
        <v>139</v>
      </c>
      <c r="I2" s="86"/>
      <c r="J2" s="86"/>
    </row>
    <row r="3" spans="2:10">
      <c r="B3" s="16">
        <v>16</v>
      </c>
      <c r="C3" s="16" t="s">
        <v>54</v>
      </c>
      <c r="D3" s="16" t="s">
        <v>55</v>
      </c>
      <c r="E3" s="16" t="s">
        <v>56</v>
      </c>
      <c r="F3" s="53" t="s">
        <v>9</v>
      </c>
      <c r="G3" s="16" t="s">
        <v>57</v>
      </c>
      <c r="H3" s="12" t="s">
        <v>155</v>
      </c>
      <c r="I3" s="12">
        <v>6</v>
      </c>
      <c r="J3" s="12" t="str">
        <f>IF(I3&gt;=6,"상",IF(I3&gt;=3,"중","하"))</f>
        <v>상</v>
      </c>
    </row>
    <row r="4" spans="2:10">
      <c r="B4" s="2">
        <v>17</v>
      </c>
      <c r="C4" s="2" t="s">
        <v>58</v>
      </c>
      <c r="D4" s="2" t="s">
        <v>59</v>
      </c>
      <c r="E4" s="2" t="s">
        <v>60</v>
      </c>
      <c r="F4" s="1" t="s">
        <v>30</v>
      </c>
      <c r="G4" s="2" t="s">
        <v>61</v>
      </c>
      <c r="H4" s="12" t="s">
        <v>158</v>
      </c>
      <c r="I4" s="12">
        <v>6</v>
      </c>
      <c r="J4" s="12" t="str">
        <f t="shared" ref="J4" si="0">IF(I4&gt;=6,"상",IF(I4&gt;=3,"중","하"))</f>
        <v>상</v>
      </c>
    </row>
    <row r="5" spans="2:10">
      <c r="J5" s="11"/>
    </row>
    <row r="6" spans="2:10">
      <c r="J6" s="11"/>
    </row>
    <row r="7" spans="2:10">
      <c r="J7" s="11"/>
    </row>
  </sheetData>
  <mergeCells count="1">
    <mergeCell ref="H2:J2"/>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7"/>
  <sheetViews>
    <sheetView workbookViewId="0">
      <selection activeCell="H17" sqref="H17:I18"/>
    </sheetView>
  </sheetViews>
  <sheetFormatPr defaultRowHeight="16.5"/>
  <cols>
    <col min="2" max="2" width="5.5" bestFit="1" customWidth="1"/>
    <col min="3" max="3" width="16.5" bestFit="1" customWidth="1"/>
    <col min="4" max="4" width="14.375" bestFit="1" customWidth="1"/>
    <col min="5" max="5" width="22.5" bestFit="1" customWidth="1"/>
    <col min="6" max="6" width="14" bestFit="1" customWidth="1"/>
    <col min="7" max="7" width="14.375" bestFit="1" customWidth="1"/>
    <col min="8" max="8" width="34.125" bestFit="1" customWidth="1"/>
  </cols>
  <sheetData>
    <row r="2" spans="2:10">
      <c r="B2" s="3" t="s">
        <v>0</v>
      </c>
      <c r="C2" s="3" t="s">
        <v>1</v>
      </c>
      <c r="D2" s="3" t="s">
        <v>2</v>
      </c>
      <c r="E2" s="3" t="s">
        <v>3</v>
      </c>
      <c r="F2" s="3" t="s">
        <v>4</v>
      </c>
      <c r="G2" s="3" t="s">
        <v>5</v>
      </c>
      <c r="H2" s="86" t="s">
        <v>139</v>
      </c>
      <c r="I2" s="86"/>
      <c r="J2" s="86"/>
    </row>
    <row r="3" spans="2:10">
      <c r="B3" s="2">
        <v>18</v>
      </c>
      <c r="C3" s="2" t="s">
        <v>62</v>
      </c>
      <c r="D3" s="2" t="s">
        <v>63</v>
      </c>
      <c r="E3" s="2" t="s">
        <v>64</v>
      </c>
      <c r="F3" s="1" t="s">
        <v>65</v>
      </c>
      <c r="G3" s="2" t="s">
        <v>66</v>
      </c>
      <c r="H3" s="12" t="s">
        <v>160</v>
      </c>
      <c r="I3" s="12">
        <v>3</v>
      </c>
      <c r="J3" s="12" t="str">
        <f>IF(I3&gt;=6,"상",IF(I3&gt;=3,"중","하"))</f>
        <v>중</v>
      </c>
    </row>
    <row r="4" spans="2:10">
      <c r="J4" s="11"/>
    </row>
    <row r="5" spans="2:10">
      <c r="J5" s="11"/>
    </row>
    <row r="6" spans="2:10">
      <c r="J6" s="11"/>
    </row>
    <row r="7" spans="2:10">
      <c r="J7" s="11"/>
    </row>
  </sheetData>
  <mergeCells count="1">
    <mergeCell ref="H2:J2"/>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7"/>
  <sheetViews>
    <sheetView workbookViewId="0">
      <selection activeCell="J15" sqref="J15:K15"/>
    </sheetView>
  </sheetViews>
  <sheetFormatPr defaultRowHeight="16.5"/>
  <cols>
    <col min="2" max="2" width="5.5" bestFit="1" customWidth="1"/>
    <col min="3" max="3" width="19" customWidth="1"/>
    <col min="4" max="4" width="14.375" bestFit="1" customWidth="1"/>
    <col min="5" max="5" width="29" bestFit="1" customWidth="1"/>
    <col min="6" max="6" width="14" bestFit="1" customWidth="1"/>
    <col min="7" max="7" width="30.125" customWidth="1"/>
    <col min="8" max="8" width="34.125" bestFit="1" customWidth="1"/>
  </cols>
  <sheetData>
    <row r="2" spans="2:10">
      <c r="B2" s="3" t="s">
        <v>0</v>
      </c>
      <c r="C2" s="3" t="s">
        <v>1</v>
      </c>
      <c r="D2" s="3" t="s">
        <v>2</v>
      </c>
      <c r="E2" s="3" t="s">
        <v>3</v>
      </c>
      <c r="F2" s="3" t="s">
        <v>4</v>
      </c>
      <c r="G2" s="3" t="s">
        <v>5</v>
      </c>
      <c r="H2" s="86" t="s">
        <v>139</v>
      </c>
      <c r="I2" s="86"/>
      <c r="J2" s="86"/>
    </row>
    <row r="3" spans="2:10" ht="33">
      <c r="B3" s="2">
        <v>19</v>
      </c>
      <c r="C3" s="2" t="s">
        <v>164</v>
      </c>
      <c r="D3" s="2" t="s">
        <v>179</v>
      </c>
      <c r="E3" s="2" t="s">
        <v>182</v>
      </c>
      <c r="F3" s="1" t="s">
        <v>30</v>
      </c>
      <c r="G3" s="2" t="s">
        <v>183</v>
      </c>
      <c r="H3" s="87" t="s">
        <v>428</v>
      </c>
      <c r="I3" s="17">
        <v>4</v>
      </c>
      <c r="J3" s="17" t="str">
        <f>IF(I3&gt;=6,"상",IF(I3&gt;=3,"중","하"))</f>
        <v>중</v>
      </c>
    </row>
    <row r="4" spans="2:10" ht="33">
      <c r="B4" s="12">
        <v>20</v>
      </c>
      <c r="C4" s="2" t="s">
        <v>165</v>
      </c>
      <c r="D4" s="12" t="s">
        <v>179</v>
      </c>
      <c r="E4" s="12" t="s">
        <v>181</v>
      </c>
      <c r="F4" s="1" t="s">
        <v>30</v>
      </c>
      <c r="G4" s="12" t="s">
        <v>184</v>
      </c>
      <c r="H4" s="17" t="s">
        <v>428</v>
      </c>
      <c r="I4" s="17">
        <v>4</v>
      </c>
      <c r="J4" s="17" t="str">
        <f t="shared" ref="J4" si="0">IF(I4&gt;=6,"상",IF(I4&gt;=3,"중","하"))</f>
        <v>중</v>
      </c>
    </row>
    <row r="5" spans="2:10">
      <c r="J5" s="11"/>
    </row>
    <row r="6" spans="2:10">
      <c r="J6" s="11"/>
    </row>
    <row r="7" spans="2:10">
      <c r="J7" s="11"/>
    </row>
  </sheetData>
  <mergeCells count="1">
    <mergeCell ref="H2:J2"/>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48"/>
  <sheetViews>
    <sheetView zoomScale="70" zoomScaleNormal="70" workbookViewId="0">
      <selection activeCell="A2" sqref="A2"/>
    </sheetView>
  </sheetViews>
  <sheetFormatPr defaultRowHeight="16.5"/>
  <cols>
    <col min="2" max="2" width="14.75" bestFit="1" customWidth="1"/>
    <col min="3" max="3" width="26.375" customWidth="1"/>
    <col min="4" max="4" width="36.625" customWidth="1"/>
    <col min="5" max="5" width="18" bestFit="1" customWidth="1"/>
    <col min="6" max="6" width="78.25" bestFit="1" customWidth="1"/>
    <col min="7" max="7" width="49" style="11" bestFit="1" customWidth="1"/>
  </cols>
  <sheetData>
    <row r="1" spans="2:8" ht="17.25" thickBot="1"/>
    <row r="2" spans="2:8">
      <c r="B2" s="18" t="s">
        <v>168</v>
      </c>
      <c r="C2" s="19" t="s">
        <v>169</v>
      </c>
      <c r="D2" s="19" t="s">
        <v>170</v>
      </c>
      <c r="E2" s="19" t="s">
        <v>171</v>
      </c>
      <c r="F2" s="19" t="s">
        <v>172</v>
      </c>
      <c r="G2" s="19" t="s">
        <v>225</v>
      </c>
      <c r="H2" s="20" t="s">
        <v>173</v>
      </c>
    </row>
    <row r="3" spans="2:8">
      <c r="B3" s="56" t="s">
        <v>174</v>
      </c>
      <c r="C3" s="55" t="s">
        <v>6</v>
      </c>
      <c r="D3" s="55" t="s">
        <v>8</v>
      </c>
      <c r="E3" s="12" t="s">
        <v>167</v>
      </c>
      <c r="F3" s="15" t="s">
        <v>193</v>
      </c>
      <c r="G3" s="12" t="s">
        <v>234</v>
      </c>
      <c r="H3" s="22"/>
    </row>
    <row r="4" spans="2:8">
      <c r="B4" s="56"/>
      <c r="C4" s="55"/>
      <c r="D4" s="55"/>
      <c r="E4" s="12" t="s">
        <v>180</v>
      </c>
      <c r="F4" s="15" t="s">
        <v>194</v>
      </c>
      <c r="G4" s="12" t="s">
        <v>235</v>
      </c>
      <c r="H4" s="22"/>
    </row>
    <row r="5" spans="2:8">
      <c r="B5" s="56"/>
      <c r="C5" s="55" t="s">
        <v>11</v>
      </c>
      <c r="D5" s="55" t="s">
        <v>200</v>
      </c>
      <c r="E5" s="12" t="s">
        <v>167</v>
      </c>
      <c r="F5" s="15" t="s">
        <v>199</v>
      </c>
      <c r="G5" s="12" t="s">
        <v>234</v>
      </c>
      <c r="H5" s="22"/>
    </row>
    <row r="6" spans="2:8">
      <c r="B6" s="56"/>
      <c r="C6" s="55"/>
      <c r="D6" s="55"/>
      <c r="E6" s="12" t="s">
        <v>195</v>
      </c>
      <c r="F6" s="15" t="s">
        <v>196</v>
      </c>
      <c r="G6" s="12" t="s">
        <v>234</v>
      </c>
      <c r="H6" s="22"/>
    </row>
    <row r="7" spans="2:8">
      <c r="B7" s="56"/>
      <c r="C7" s="55" t="s">
        <v>13</v>
      </c>
      <c r="D7" s="55" t="s">
        <v>15</v>
      </c>
      <c r="E7" s="12" t="s">
        <v>195</v>
      </c>
      <c r="F7" s="15" t="s">
        <v>201</v>
      </c>
      <c r="G7" s="12" t="s">
        <v>227</v>
      </c>
      <c r="H7" s="22"/>
    </row>
    <row r="8" spans="2:8">
      <c r="B8" s="56"/>
      <c r="C8" s="55"/>
      <c r="D8" s="55"/>
      <c r="E8" s="12" t="s">
        <v>180</v>
      </c>
      <c r="F8" s="15" t="s">
        <v>202</v>
      </c>
      <c r="G8" s="12" t="s">
        <v>235</v>
      </c>
      <c r="H8" s="22"/>
    </row>
    <row r="9" spans="2:8">
      <c r="B9" s="56"/>
      <c r="C9" s="55" t="s">
        <v>17</v>
      </c>
      <c r="D9" s="55" t="s">
        <v>19</v>
      </c>
      <c r="E9" s="12" t="s">
        <v>195</v>
      </c>
      <c r="F9" s="15" t="s">
        <v>203</v>
      </c>
      <c r="G9" s="12" t="s">
        <v>236</v>
      </c>
      <c r="H9" s="22"/>
    </row>
    <row r="10" spans="2:8">
      <c r="B10" s="56"/>
      <c r="C10" s="55"/>
      <c r="D10" s="55"/>
      <c r="E10" s="12" t="s">
        <v>188</v>
      </c>
      <c r="F10" s="15" t="s">
        <v>197</v>
      </c>
      <c r="G10" s="12" t="s">
        <v>228</v>
      </c>
      <c r="H10" s="22"/>
    </row>
    <row r="11" spans="2:8">
      <c r="B11" s="56"/>
      <c r="C11" s="55" t="s">
        <v>21</v>
      </c>
      <c r="D11" s="55" t="s">
        <v>23</v>
      </c>
      <c r="E11" s="12" t="s">
        <v>188</v>
      </c>
      <c r="F11" s="15" t="s">
        <v>204</v>
      </c>
      <c r="G11" s="12" t="s">
        <v>237</v>
      </c>
      <c r="H11" s="22"/>
    </row>
    <row r="12" spans="2:8">
      <c r="B12" s="56"/>
      <c r="C12" s="55"/>
      <c r="D12" s="55"/>
      <c r="E12" s="12" t="s">
        <v>198</v>
      </c>
      <c r="F12" s="15" t="s">
        <v>205</v>
      </c>
      <c r="G12" s="12" t="s">
        <v>231</v>
      </c>
      <c r="H12" s="22"/>
    </row>
    <row r="13" spans="2:8">
      <c r="B13" s="56" t="s">
        <v>175</v>
      </c>
      <c r="C13" s="55" t="s">
        <v>27</v>
      </c>
      <c r="D13" s="55" t="s">
        <v>29</v>
      </c>
      <c r="E13" s="12" t="s">
        <v>192</v>
      </c>
      <c r="F13" s="15" t="s">
        <v>206</v>
      </c>
      <c r="G13" s="12" t="s">
        <v>238</v>
      </c>
      <c r="H13" s="22"/>
    </row>
    <row r="14" spans="2:8">
      <c r="B14" s="56"/>
      <c r="C14" s="55"/>
      <c r="D14" s="55"/>
      <c r="E14" s="12" t="s">
        <v>167</v>
      </c>
      <c r="F14" s="15" t="s">
        <v>207</v>
      </c>
      <c r="G14" s="12" t="s">
        <v>226</v>
      </c>
      <c r="H14" s="22"/>
    </row>
    <row r="15" spans="2:8">
      <c r="B15" s="56"/>
      <c r="C15" s="2" t="s">
        <v>32</v>
      </c>
      <c r="D15" s="2" t="s">
        <v>208</v>
      </c>
      <c r="E15" s="12" t="s">
        <v>192</v>
      </c>
      <c r="F15" s="15" t="s">
        <v>209</v>
      </c>
      <c r="G15" s="12" t="s">
        <v>238</v>
      </c>
      <c r="H15" s="22"/>
    </row>
    <row r="16" spans="2:8">
      <c r="B16" s="56"/>
      <c r="C16" s="55" t="s">
        <v>35</v>
      </c>
      <c r="D16" s="55" t="s">
        <v>36</v>
      </c>
      <c r="E16" s="12" t="s">
        <v>189</v>
      </c>
      <c r="F16" s="15" t="s">
        <v>210</v>
      </c>
      <c r="G16" s="12" t="s">
        <v>239</v>
      </c>
      <c r="H16" s="22"/>
    </row>
    <row r="17" spans="2:8">
      <c r="B17" s="56"/>
      <c r="C17" s="55"/>
      <c r="D17" s="55"/>
      <c r="E17" s="12" t="s">
        <v>195</v>
      </c>
      <c r="F17" s="15" t="s">
        <v>211</v>
      </c>
      <c r="G17" s="12" t="s">
        <v>240</v>
      </c>
      <c r="H17" s="22"/>
    </row>
    <row r="18" spans="2:8">
      <c r="B18" s="56"/>
      <c r="C18" s="55" t="s">
        <v>38</v>
      </c>
      <c r="D18" s="55" t="s">
        <v>40</v>
      </c>
      <c r="E18" s="12" t="s">
        <v>167</v>
      </c>
      <c r="F18" s="15" t="s">
        <v>212</v>
      </c>
      <c r="G18" s="12" t="s">
        <v>234</v>
      </c>
      <c r="H18" s="22"/>
    </row>
    <row r="19" spans="2:8">
      <c r="B19" s="56"/>
      <c r="C19" s="55"/>
      <c r="D19" s="55"/>
      <c r="E19" s="12" t="s">
        <v>180</v>
      </c>
      <c r="F19" s="15" t="s">
        <v>214</v>
      </c>
      <c r="G19" s="12" t="s">
        <v>230</v>
      </c>
      <c r="H19" s="22"/>
    </row>
    <row r="20" spans="2:8">
      <c r="B20" s="56"/>
      <c r="C20" s="2" t="s">
        <v>42</v>
      </c>
      <c r="D20" s="2" t="s">
        <v>43</v>
      </c>
      <c r="E20" s="12" t="s">
        <v>180</v>
      </c>
      <c r="F20" s="15" t="s">
        <v>213</v>
      </c>
      <c r="G20" s="12" t="s">
        <v>235</v>
      </c>
      <c r="H20" s="22"/>
    </row>
    <row r="21" spans="2:8">
      <c r="B21" s="56" t="s">
        <v>176</v>
      </c>
      <c r="C21" s="55" t="s">
        <v>49</v>
      </c>
      <c r="D21" s="55" t="s">
        <v>50</v>
      </c>
      <c r="E21" s="12" t="s">
        <v>185</v>
      </c>
      <c r="F21" s="15" t="s">
        <v>215</v>
      </c>
      <c r="G21" s="12" t="s">
        <v>232</v>
      </c>
      <c r="H21" s="22"/>
    </row>
    <row r="22" spans="2:8">
      <c r="B22" s="56"/>
      <c r="C22" s="55"/>
      <c r="D22" s="55"/>
      <c r="E22" s="12" t="s">
        <v>189</v>
      </c>
      <c r="F22" s="15" t="s">
        <v>190</v>
      </c>
      <c r="G22" s="12" t="s">
        <v>229</v>
      </c>
      <c r="H22" s="22"/>
    </row>
    <row r="23" spans="2:8">
      <c r="B23" s="56"/>
      <c r="C23" s="55"/>
      <c r="D23" s="55"/>
      <c r="E23" s="12" t="s">
        <v>167</v>
      </c>
      <c r="F23" s="15" t="s">
        <v>216</v>
      </c>
      <c r="G23" s="12" t="s">
        <v>232</v>
      </c>
      <c r="H23" s="22"/>
    </row>
    <row r="24" spans="2:8">
      <c r="B24" s="56"/>
      <c r="C24" s="2" t="s">
        <v>67</v>
      </c>
      <c r="D24" s="2" t="s">
        <v>69</v>
      </c>
      <c r="E24" s="12" t="s">
        <v>189</v>
      </c>
      <c r="F24" s="15" t="s">
        <v>217</v>
      </c>
      <c r="G24" s="12" t="s">
        <v>232</v>
      </c>
      <c r="H24" s="22"/>
    </row>
    <row r="25" spans="2:8">
      <c r="B25" s="56"/>
      <c r="C25" s="2" t="s">
        <v>72</v>
      </c>
      <c r="D25" s="2" t="s">
        <v>73</v>
      </c>
      <c r="E25" s="12" t="s">
        <v>189</v>
      </c>
      <c r="F25" s="15" t="s">
        <v>218</v>
      </c>
      <c r="G25" s="12" t="s">
        <v>241</v>
      </c>
      <c r="H25" s="22"/>
    </row>
    <row r="26" spans="2:8">
      <c r="B26" s="56"/>
      <c r="C26" s="2" t="s">
        <v>76</v>
      </c>
      <c r="D26" s="2" t="s">
        <v>77</v>
      </c>
      <c r="E26" s="12" t="s">
        <v>189</v>
      </c>
      <c r="F26" s="15" t="s">
        <v>219</v>
      </c>
      <c r="G26" s="12" t="s">
        <v>232</v>
      </c>
      <c r="H26" s="22"/>
    </row>
    <row r="27" spans="2:8">
      <c r="B27" s="56"/>
      <c r="C27" s="2" t="s">
        <v>80</v>
      </c>
      <c r="D27" s="2" t="s">
        <v>81</v>
      </c>
      <c r="E27" s="12" t="s">
        <v>189</v>
      </c>
      <c r="F27" s="15" t="s">
        <v>220</v>
      </c>
      <c r="G27" s="12" t="s">
        <v>232</v>
      </c>
      <c r="H27" s="22"/>
    </row>
    <row r="28" spans="2:8">
      <c r="B28" s="56" t="s">
        <v>177</v>
      </c>
      <c r="C28" s="16" t="s">
        <v>54</v>
      </c>
      <c r="D28" s="16" t="s">
        <v>56</v>
      </c>
      <c r="E28" s="17" t="s">
        <v>186</v>
      </c>
      <c r="F28" s="15" t="s">
        <v>187</v>
      </c>
      <c r="G28" s="12" t="s">
        <v>230</v>
      </c>
      <c r="H28" s="22"/>
    </row>
    <row r="29" spans="2:8">
      <c r="B29" s="56"/>
      <c r="C29" s="2" t="s">
        <v>58</v>
      </c>
      <c r="D29" s="2" t="s">
        <v>60</v>
      </c>
      <c r="E29" s="12" t="s">
        <v>166</v>
      </c>
      <c r="F29" s="15" t="s">
        <v>221</v>
      </c>
      <c r="G29" s="12" t="s">
        <v>233</v>
      </c>
      <c r="H29" s="22"/>
    </row>
    <row r="30" spans="2:8">
      <c r="B30" s="21" t="s">
        <v>178</v>
      </c>
      <c r="C30" s="2" t="s">
        <v>62</v>
      </c>
      <c r="D30" s="2" t="s">
        <v>64</v>
      </c>
      <c r="E30" s="12" t="s">
        <v>167</v>
      </c>
      <c r="F30" s="15" t="s">
        <v>222</v>
      </c>
      <c r="G30" s="12" t="s">
        <v>242</v>
      </c>
      <c r="H30" s="22"/>
    </row>
    <row r="31" spans="2:8">
      <c r="B31" s="56" t="s">
        <v>179</v>
      </c>
      <c r="C31" s="2" t="s">
        <v>164</v>
      </c>
      <c r="D31" s="2" t="s">
        <v>182</v>
      </c>
      <c r="E31" s="12" t="s">
        <v>191</v>
      </c>
      <c r="F31" s="15" t="s">
        <v>223</v>
      </c>
      <c r="G31" s="12" t="s">
        <v>243</v>
      </c>
      <c r="H31" s="22"/>
    </row>
    <row r="32" spans="2:8" ht="17.25" thickBot="1">
      <c r="B32" s="57"/>
      <c r="C32" s="24" t="s">
        <v>165</v>
      </c>
      <c r="D32" s="25" t="s">
        <v>181</v>
      </c>
      <c r="E32" s="25" t="s">
        <v>192</v>
      </c>
      <c r="F32" s="26" t="s">
        <v>224</v>
      </c>
      <c r="G32" s="25" t="s">
        <v>243</v>
      </c>
      <c r="H32" s="27"/>
    </row>
    <row r="37" spans="2:2">
      <c r="B37" s="11"/>
    </row>
    <row r="38" spans="2:2">
      <c r="B38" s="11"/>
    </row>
    <row r="39" spans="2:2">
      <c r="B39" s="11"/>
    </row>
    <row r="40" spans="2:2">
      <c r="B40" s="11"/>
    </row>
    <row r="41" spans="2:2">
      <c r="B41" s="11"/>
    </row>
    <row r="42" spans="2:2">
      <c r="B42" s="11"/>
    </row>
    <row r="43" spans="2:2">
      <c r="B43" s="11"/>
    </row>
    <row r="44" spans="2:2">
      <c r="B44" s="11"/>
    </row>
    <row r="45" spans="2:2">
      <c r="B45" s="11"/>
    </row>
    <row r="46" spans="2:2">
      <c r="B46" s="11"/>
    </row>
    <row r="47" spans="2:2">
      <c r="B47" s="11"/>
    </row>
    <row r="48" spans="2:2">
      <c r="B48" s="11"/>
    </row>
  </sheetData>
  <mergeCells count="23">
    <mergeCell ref="B13:B20"/>
    <mergeCell ref="B21:B27"/>
    <mergeCell ref="B28:B29"/>
    <mergeCell ref="B31:B32"/>
    <mergeCell ref="C21:C23"/>
    <mergeCell ref="C16:C17"/>
    <mergeCell ref="D11:D12"/>
    <mergeCell ref="C11:C12"/>
    <mergeCell ref="C9:C10"/>
    <mergeCell ref="D9:D10"/>
    <mergeCell ref="B3:B12"/>
    <mergeCell ref="C7:C8"/>
    <mergeCell ref="D7:D8"/>
    <mergeCell ref="C5:C6"/>
    <mergeCell ref="D5:D6"/>
    <mergeCell ref="C3:C4"/>
    <mergeCell ref="D3:D4"/>
    <mergeCell ref="D16:D17"/>
    <mergeCell ref="C13:C14"/>
    <mergeCell ref="D13:D14"/>
    <mergeCell ref="D21:D23"/>
    <mergeCell ref="D18:D19"/>
    <mergeCell ref="C18:C19"/>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M32"/>
  <sheetViews>
    <sheetView topLeftCell="E4" zoomScaleNormal="100" workbookViewId="0">
      <selection activeCell="J26" sqref="J26"/>
    </sheetView>
  </sheetViews>
  <sheetFormatPr defaultRowHeight="16.5"/>
  <cols>
    <col min="2" max="2" width="14.75" bestFit="1" customWidth="1"/>
    <col min="3" max="3" width="24" customWidth="1"/>
    <col min="4" max="4" width="18" bestFit="1" customWidth="1"/>
    <col min="5" max="5" width="80.25" bestFit="1" customWidth="1"/>
    <col min="6" max="6" width="39.75" bestFit="1" customWidth="1"/>
    <col min="10" max="10" width="53.125" bestFit="1" customWidth="1"/>
    <col min="11" max="11" width="74" bestFit="1" customWidth="1"/>
  </cols>
  <sheetData>
    <row r="1" spans="2:13" ht="17.25" thickBot="1"/>
    <row r="2" spans="2:13">
      <c r="B2" s="30" t="s">
        <v>168</v>
      </c>
      <c r="C2" s="31" t="s">
        <v>169</v>
      </c>
      <c r="D2" s="31" t="s">
        <v>171</v>
      </c>
      <c r="E2" s="31" t="s">
        <v>172</v>
      </c>
      <c r="F2" s="31" t="s">
        <v>225</v>
      </c>
      <c r="G2" s="31" t="s">
        <v>139</v>
      </c>
      <c r="H2" s="31" t="s">
        <v>139</v>
      </c>
      <c r="I2" s="31" t="s">
        <v>244</v>
      </c>
      <c r="J2" s="31" t="s">
        <v>245</v>
      </c>
      <c r="K2" s="46" t="s">
        <v>405</v>
      </c>
      <c r="M2" s="11"/>
    </row>
    <row r="3" spans="2:13">
      <c r="B3" s="58" t="s">
        <v>174</v>
      </c>
      <c r="C3" s="55" t="s">
        <v>6</v>
      </c>
      <c r="D3" s="12" t="s">
        <v>167</v>
      </c>
      <c r="E3" s="12" t="s">
        <v>193</v>
      </c>
      <c r="F3" s="12" t="s">
        <v>234</v>
      </c>
      <c r="G3" s="12">
        <v>6</v>
      </c>
      <c r="H3" s="12" t="str">
        <f>IF(G3&gt;=6,"상",IF(G3&gt;=3,"중","하"))</f>
        <v>상</v>
      </c>
      <c r="I3" s="12" t="s">
        <v>246</v>
      </c>
      <c r="J3" s="12" t="s">
        <v>250</v>
      </c>
      <c r="K3" s="28"/>
    </row>
    <row r="4" spans="2:13">
      <c r="B4" s="58"/>
      <c r="C4" s="55"/>
      <c r="D4" s="12" t="s">
        <v>180</v>
      </c>
      <c r="E4" s="12" t="s">
        <v>194</v>
      </c>
      <c r="F4" s="12" t="s">
        <v>235</v>
      </c>
      <c r="G4" s="12">
        <v>6</v>
      </c>
      <c r="H4" s="12" t="str">
        <f t="shared" ref="H4:H32" si="0">IF(G4&gt;=6,"상",IF(G4&gt;=3,"중","하"))</f>
        <v>상</v>
      </c>
      <c r="I4" s="12" t="s">
        <v>246</v>
      </c>
      <c r="J4" s="12" t="s">
        <v>251</v>
      </c>
      <c r="K4" s="28"/>
    </row>
    <row r="5" spans="2:13">
      <c r="B5" s="58"/>
      <c r="C5" s="55" t="s">
        <v>11</v>
      </c>
      <c r="D5" s="12" t="s">
        <v>167</v>
      </c>
      <c r="E5" s="12" t="s">
        <v>199</v>
      </c>
      <c r="F5" s="12" t="s">
        <v>234</v>
      </c>
      <c r="G5" s="12">
        <v>6</v>
      </c>
      <c r="H5" s="12" t="str">
        <f t="shared" si="0"/>
        <v>상</v>
      </c>
      <c r="I5" s="12" t="s">
        <v>246</v>
      </c>
      <c r="J5" s="12" t="s">
        <v>251</v>
      </c>
      <c r="K5" s="28"/>
    </row>
    <row r="6" spans="2:13">
      <c r="B6" s="58"/>
      <c r="C6" s="55"/>
      <c r="D6" s="12" t="s">
        <v>195</v>
      </c>
      <c r="E6" s="12" t="s">
        <v>196</v>
      </c>
      <c r="F6" s="12" t="s">
        <v>234</v>
      </c>
      <c r="G6" s="12">
        <v>6</v>
      </c>
      <c r="H6" s="12" t="str">
        <f t="shared" si="0"/>
        <v>상</v>
      </c>
      <c r="I6" s="12" t="s">
        <v>246</v>
      </c>
      <c r="J6" s="12" t="s">
        <v>252</v>
      </c>
      <c r="K6" s="28"/>
    </row>
    <row r="7" spans="2:13">
      <c r="B7" s="58"/>
      <c r="C7" s="55" t="s">
        <v>13</v>
      </c>
      <c r="D7" s="12" t="s">
        <v>195</v>
      </c>
      <c r="E7" s="12" t="s">
        <v>201</v>
      </c>
      <c r="F7" s="12" t="s">
        <v>227</v>
      </c>
      <c r="G7" s="12">
        <v>6</v>
      </c>
      <c r="H7" s="12" t="str">
        <f t="shared" si="0"/>
        <v>상</v>
      </c>
      <c r="I7" s="12" t="s">
        <v>246</v>
      </c>
      <c r="J7" s="12" t="s">
        <v>253</v>
      </c>
      <c r="K7" s="28"/>
    </row>
    <row r="8" spans="2:13">
      <c r="B8" s="58"/>
      <c r="C8" s="55"/>
      <c r="D8" s="12" t="s">
        <v>180</v>
      </c>
      <c r="E8" s="12" t="s">
        <v>202</v>
      </c>
      <c r="F8" s="12" t="s">
        <v>235</v>
      </c>
      <c r="G8" s="12">
        <v>6</v>
      </c>
      <c r="H8" s="12" t="str">
        <f t="shared" si="0"/>
        <v>상</v>
      </c>
      <c r="I8" s="12" t="s">
        <v>246</v>
      </c>
      <c r="J8" s="12" t="s">
        <v>254</v>
      </c>
      <c r="K8" s="28"/>
    </row>
    <row r="9" spans="2:13">
      <c r="B9" s="58"/>
      <c r="C9" s="55" t="s">
        <v>17</v>
      </c>
      <c r="D9" s="12" t="s">
        <v>195</v>
      </c>
      <c r="E9" s="12" t="s">
        <v>203</v>
      </c>
      <c r="F9" s="12" t="s">
        <v>236</v>
      </c>
      <c r="G9" s="12">
        <v>3</v>
      </c>
      <c r="H9" s="12" t="str">
        <f t="shared" si="0"/>
        <v>중</v>
      </c>
      <c r="I9" s="12" t="s">
        <v>246</v>
      </c>
      <c r="J9" s="12" t="s">
        <v>255</v>
      </c>
      <c r="K9" s="28"/>
    </row>
    <row r="10" spans="2:13">
      <c r="B10" s="58"/>
      <c r="C10" s="55"/>
      <c r="D10" s="12" t="s">
        <v>188</v>
      </c>
      <c r="E10" s="12" t="s">
        <v>197</v>
      </c>
      <c r="F10" s="12" t="s">
        <v>228</v>
      </c>
      <c r="G10" s="12">
        <v>3</v>
      </c>
      <c r="H10" s="12" t="str">
        <f t="shared" si="0"/>
        <v>중</v>
      </c>
      <c r="I10" s="12" t="s">
        <v>246</v>
      </c>
      <c r="J10" s="12" t="s">
        <v>256</v>
      </c>
      <c r="K10" s="28"/>
    </row>
    <row r="11" spans="2:13">
      <c r="B11" s="58"/>
      <c r="C11" s="55" t="s">
        <v>21</v>
      </c>
      <c r="D11" s="12" t="s">
        <v>188</v>
      </c>
      <c r="E11" s="12" t="s">
        <v>204</v>
      </c>
      <c r="F11" s="12" t="s">
        <v>237</v>
      </c>
      <c r="G11" s="12">
        <v>2</v>
      </c>
      <c r="H11" s="12" t="str">
        <f t="shared" si="0"/>
        <v>하</v>
      </c>
      <c r="I11" s="12" t="s">
        <v>247</v>
      </c>
      <c r="J11" s="12" t="s">
        <v>404</v>
      </c>
      <c r="K11" s="28" t="s">
        <v>426</v>
      </c>
    </row>
    <row r="12" spans="2:13">
      <c r="B12" s="58"/>
      <c r="C12" s="55"/>
      <c r="D12" s="12" t="s">
        <v>198</v>
      </c>
      <c r="E12" s="12" t="s">
        <v>205</v>
      </c>
      <c r="F12" s="12" t="s">
        <v>231</v>
      </c>
      <c r="G12" s="12">
        <v>2</v>
      </c>
      <c r="H12" s="12" t="str">
        <f t="shared" si="0"/>
        <v>하</v>
      </c>
      <c r="I12" s="12" t="s">
        <v>247</v>
      </c>
      <c r="J12" s="12" t="s">
        <v>257</v>
      </c>
      <c r="K12" s="28" t="s">
        <v>427</v>
      </c>
    </row>
    <row r="13" spans="2:13">
      <c r="B13" s="58" t="s">
        <v>175</v>
      </c>
      <c r="C13" s="55" t="s">
        <v>27</v>
      </c>
      <c r="D13" s="12" t="s">
        <v>192</v>
      </c>
      <c r="E13" s="12" t="s">
        <v>206</v>
      </c>
      <c r="F13" s="12" t="s">
        <v>238</v>
      </c>
      <c r="G13" s="12">
        <v>6</v>
      </c>
      <c r="H13" s="12" t="str">
        <f t="shared" si="0"/>
        <v>상</v>
      </c>
      <c r="I13" s="12" t="s">
        <v>246</v>
      </c>
      <c r="J13" s="12" t="s">
        <v>258</v>
      </c>
      <c r="K13" s="28"/>
    </row>
    <row r="14" spans="2:13">
      <c r="B14" s="58"/>
      <c r="C14" s="55"/>
      <c r="D14" s="12" t="s">
        <v>167</v>
      </c>
      <c r="E14" s="12" t="s">
        <v>207</v>
      </c>
      <c r="F14" s="12" t="s">
        <v>226</v>
      </c>
      <c r="G14" s="12">
        <v>6</v>
      </c>
      <c r="H14" s="12" t="str">
        <f t="shared" si="0"/>
        <v>상</v>
      </c>
      <c r="I14" s="12" t="s">
        <v>246</v>
      </c>
      <c r="J14" s="12" t="s">
        <v>259</v>
      </c>
      <c r="K14" s="28"/>
    </row>
    <row r="15" spans="2:13">
      <c r="B15" s="58"/>
      <c r="C15" s="2" t="s">
        <v>32</v>
      </c>
      <c r="D15" s="12" t="s">
        <v>192</v>
      </c>
      <c r="E15" s="12" t="s">
        <v>209</v>
      </c>
      <c r="F15" s="12" t="s">
        <v>238</v>
      </c>
      <c r="G15" s="12">
        <v>6</v>
      </c>
      <c r="H15" s="12" t="str">
        <f t="shared" si="0"/>
        <v>상</v>
      </c>
      <c r="I15" s="12" t="s">
        <v>246</v>
      </c>
      <c r="J15" s="12" t="s">
        <v>258</v>
      </c>
      <c r="K15" s="28"/>
    </row>
    <row r="16" spans="2:13">
      <c r="B16" s="58"/>
      <c r="C16" s="55" t="s">
        <v>35</v>
      </c>
      <c r="D16" s="12" t="s">
        <v>189</v>
      </c>
      <c r="E16" s="12" t="s">
        <v>210</v>
      </c>
      <c r="F16" s="12" t="s">
        <v>239</v>
      </c>
      <c r="G16" s="12">
        <v>6</v>
      </c>
      <c r="H16" s="12" t="str">
        <f t="shared" si="0"/>
        <v>상</v>
      </c>
      <c r="I16" s="12" t="s">
        <v>246</v>
      </c>
      <c r="J16" s="12" t="s">
        <v>260</v>
      </c>
      <c r="K16" s="28"/>
    </row>
    <row r="17" spans="2:11">
      <c r="B17" s="58"/>
      <c r="C17" s="55"/>
      <c r="D17" s="12" t="s">
        <v>195</v>
      </c>
      <c r="E17" s="12" t="s">
        <v>211</v>
      </c>
      <c r="F17" s="12" t="s">
        <v>240</v>
      </c>
      <c r="G17" s="12">
        <v>6</v>
      </c>
      <c r="H17" s="12" t="str">
        <f t="shared" si="0"/>
        <v>상</v>
      </c>
      <c r="I17" s="12" t="s">
        <v>246</v>
      </c>
      <c r="J17" s="12" t="s">
        <v>261</v>
      </c>
      <c r="K17" s="28"/>
    </row>
    <row r="18" spans="2:11">
      <c r="B18" s="58"/>
      <c r="C18" s="55" t="s">
        <v>38</v>
      </c>
      <c r="D18" s="12" t="s">
        <v>167</v>
      </c>
      <c r="E18" s="12" t="s">
        <v>212</v>
      </c>
      <c r="F18" s="12" t="s">
        <v>234</v>
      </c>
      <c r="G18" s="12">
        <v>9</v>
      </c>
      <c r="H18" s="12" t="str">
        <f t="shared" si="0"/>
        <v>상</v>
      </c>
      <c r="I18" s="12" t="s">
        <v>246</v>
      </c>
      <c r="J18" s="12" t="s">
        <v>262</v>
      </c>
      <c r="K18" s="28"/>
    </row>
    <row r="19" spans="2:11">
      <c r="B19" s="58"/>
      <c r="C19" s="55"/>
      <c r="D19" s="12" t="s">
        <v>180</v>
      </c>
      <c r="E19" s="12" t="s">
        <v>214</v>
      </c>
      <c r="F19" s="12" t="s">
        <v>230</v>
      </c>
      <c r="G19" s="12">
        <v>9</v>
      </c>
      <c r="H19" s="12" t="str">
        <f t="shared" si="0"/>
        <v>상</v>
      </c>
      <c r="I19" s="12" t="s">
        <v>246</v>
      </c>
      <c r="J19" s="12" t="s">
        <v>263</v>
      </c>
      <c r="K19" s="28"/>
    </row>
    <row r="20" spans="2:11">
      <c r="B20" s="58"/>
      <c r="C20" s="2" t="s">
        <v>42</v>
      </c>
      <c r="D20" s="12" t="s">
        <v>180</v>
      </c>
      <c r="E20" s="12" t="s">
        <v>213</v>
      </c>
      <c r="F20" s="12" t="s">
        <v>235</v>
      </c>
      <c r="G20" s="12">
        <v>2</v>
      </c>
      <c r="H20" s="12" t="str">
        <f t="shared" si="0"/>
        <v>하</v>
      </c>
      <c r="I20" s="12" t="s">
        <v>247</v>
      </c>
      <c r="J20" s="12" t="s">
        <v>264</v>
      </c>
      <c r="K20" s="28" t="s">
        <v>406</v>
      </c>
    </row>
    <row r="21" spans="2:11">
      <c r="B21" s="58" t="s">
        <v>176</v>
      </c>
      <c r="C21" s="55" t="s">
        <v>49</v>
      </c>
      <c r="D21" s="12" t="s">
        <v>185</v>
      </c>
      <c r="E21" s="12" t="s">
        <v>215</v>
      </c>
      <c r="F21" s="12" t="s">
        <v>232</v>
      </c>
      <c r="G21" s="12">
        <v>3</v>
      </c>
      <c r="H21" s="12" t="str">
        <f t="shared" si="0"/>
        <v>중</v>
      </c>
      <c r="I21" s="12" t="s">
        <v>246</v>
      </c>
      <c r="J21" s="12" t="s">
        <v>265</v>
      </c>
      <c r="K21" s="28"/>
    </row>
    <row r="22" spans="2:11">
      <c r="B22" s="58"/>
      <c r="C22" s="55"/>
      <c r="D22" s="12" t="s">
        <v>189</v>
      </c>
      <c r="E22" s="12" t="s">
        <v>190</v>
      </c>
      <c r="F22" s="12" t="s">
        <v>229</v>
      </c>
      <c r="G22" s="12">
        <v>3</v>
      </c>
      <c r="H22" s="12" t="str">
        <f t="shared" si="0"/>
        <v>중</v>
      </c>
      <c r="I22" s="12" t="s">
        <v>246</v>
      </c>
      <c r="J22" s="12" t="s">
        <v>266</v>
      </c>
      <c r="K22" s="28"/>
    </row>
    <row r="23" spans="2:11">
      <c r="B23" s="58"/>
      <c r="C23" s="55"/>
      <c r="D23" s="12" t="s">
        <v>167</v>
      </c>
      <c r="E23" s="12" t="s">
        <v>216</v>
      </c>
      <c r="F23" s="12" t="s">
        <v>232</v>
      </c>
      <c r="G23" s="12">
        <v>3</v>
      </c>
      <c r="H23" s="12" t="str">
        <f t="shared" si="0"/>
        <v>중</v>
      </c>
      <c r="I23" s="12" t="s">
        <v>246</v>
      </c>
      <c r="J23" s="12" t="s">
        <v>267</v>
      </c>
      <c r="K23" s="28"/>
    </row>
    <row r="24" spans="2:11">
      <c r="B24" s="58"/>
      <c r="C24" s="2" t="s">
        <v>67</v>
      </c>
      <c r="D24" s="12" t="s">
        <v>189</v>
      </c>
      <c r="E24" s="12" t="s">
        <v>217</v>
      </c>
      <c r="F24" s="12" t="s">
        <v>232</v>
      </c>
      <c r="G24" s="12">
        <v>3</v>
      </c>
      <c r="H24" s="12" t="str">
        <f t="shared" si="0"/>
        <v>중</v>
      </c>
      <c r="I24" s="12" t="s">
        <v>246</v>
      </c>
      <c r="J24" s="12" t="s">
        <v>268</v>
      </c>
      <c r="K24" s="28"/>
    </row>
    <row r="25" spans="2:11">
      <c r="B25" s="58"/>
      <c r="C25" s="2" t="s">
        <v>72</v>
      </c>
      <c r="D25" s="12" t="s">
        <v>189</v>
      </c>
      <c r="E25" s="12" t="s">
        <v>218</v>
      </c>
      <c r="F25" s="12" t="s">
        <v>241</v>
      </c>
      <c r="G25" s="12">
        <v>3</v>
      </c>
      <c r="H25" s="12" t="str">
        <f t="shared" si="0"/>
        <v>중</v>
      </c>
      <c r="I25" s="12" t="s">
        <v>246</v>
      </c>
      <c r="J25" s="12" t="s">
        <v>269</v>
      </c>
      <c r="K25" s="28"/>
    </row>
    <row r="26" spans="2:11">
      <c r="B26" s="58"/>
      <c r="C26" s="2" t="s">
        <v>76</v>
      </c>
      <c r="D26" s="12" t="s">
        <v>189</v>
      </c>
      <c r="E26" s="12" t="s">
        <v>219</v>
      </c>
      <c r="F26" s="12" t="s">
        <v>232</v>
      </c>
      <c r="G26" s="12">
        <v>3</v>
      </c>
      <c r="H26" s="12" t="str">
        <f t="shared" si="0"/>
        <v>중</v>
      </c>
      <c r="I26" s="12" t="s">
        <v>246</v>
      </c>
      <c r="J26" s="12" t="s">
        <v>268</v>
      </c>
      <c r="K26" s="28"/>
    </row>
    <row r="27" spans="2:11">
      <c r="B27" s="58"/>
      <c r="C27" s="2" t="s">
        <v>80</v>
      </c>
      <c r="D27" s="12" t="s">
        <v>189</v>
      </c>
      <c r="E27" s="12" t="s">
        <v>220</v>
      </c>
      <c r="F27" s="12" t="s">
        <v>232</v>
      </c>
      <c r="G27" s="12">
        <v>6</v>
      </c>
      <c r="H27" s="12" t="str">
        <f t="shared" si="0"/>
        <v>상</v>
      </c>
      <c r="I27" s="12" t="s">
        <v>246</v>
      </c>
      <c r="J27" s="12" t="s">
        <v>268</v>
      </c>
      <c r="K27" s="28"/>
    </row>
    <row r="28" spans="2:11">
      <c r="B28" s="58" t="s">
        <v>177</v>
      </c>
      <c r="C28" s="16" t="s">
        <v>54</v>
      </c>
      <c r="D28" s="17" t="s">
        <v>186</v>
      </c>
      <c r="E28" s="12" t="s">
        <v>187</v>
      </c>
      <c r="F28" s="12" t="s">
        <v>230</v>
      </c>
      <c r="G28" s="12">
        <v>6</v>
      </c>
      <c r="H28" s="12" t="str">
        <f t="shared" si="0"/>
        <v>상</v>
      </c>
      <c r="I28" s="12" t="s">
        <v>246</v>
      </c>
      <c r="J28" s="12" t="s">
        <v>431</v>
      </c>
      <c r="K28" s="28"/>
    </row>
    <row r="29" spans="2:11">
      <c r="B29" s="58"/>
      <c r="C29" s="2" t="s">
        <v>58</v>
      </c>
      <c r="D29" s="12" t="s">
        <v>166</v>
      </c>
      <c r="E29" s="12" t="s">
        <v>221</v>
      </c>
      <c r="F29" s="12" t="s">
        <v>233</v>
      </c>
      <c r="G29" s="12">
        <v>6</v>
      </c>
      <c r="H29" s="12" t="str">
        <f t="shared" si="0"/>
        <v>상</v>
      </c>
      <c r="I29" s="12" t="s">
        <v>246</v>
      </c>
      <c r="J29" s="12" t="s">
        <v>270</v>
      </c>
      <c r="K29" s="28"/>
    </row>
    <row r="30" spans="2:11">
      <c r="B30" s="35" t="s">
        <v>178</v>
      </c>
      <c r="C30" s="2" t="s">
        <v>62</v>
      </c>
      <c r="D30" s="12" t="s">
        <v>167</v>
      </c>
      <c r="E30" s="12" t="s">
        <v>222</v>
      </c>
      <c r="F30" s="12" t="s">
        <v>242</v>
      </c>
      <c r="G30" s="12">
        <v>3</v>
      </c>
      <c r="H30" s="12" t="str">
        <f t="shared" si="0"/>
        <v>중</v>
      </c>
      <c r="I30" s="12" t="s">
        <v>246</v>
      </c>
      <c r="J30" s="12" t="s">
        <v>271</v>
      </c>
      <c r="K30" s="28"/>
    </row>
    <row r="31" spans="2:11">
      <c r="B31" s="58" t="s">
        <v>179</v>
      </c>
      <c r="C31" s="2" t="s">
        <v>164</v>
      </c>
      <c r="D31" s="12" t="s">
        <v>191</v>
      </c>
      <c r="E31" s="12" t="s">
        <v>223</v>
      </c>
      <c r="F31" s="12" t="s">
        <v>243</v>
      </c>
      <c r="G31" s="12">
        <v>4</v>
      </c>
      <c r="H31" s="12" t="str">
        <f t="shared" si="0"/>
        <v>중</v>
      </c>
      <c r="I31" s="12" t="s">
        <v>246</v>
      </c>
      <c r="J31" s="12" t="s">
        <v>430</v>
      </c>
      <c r="K31" s="28"/>
    </row>
    <row r="32" spans="2:11" ht="17.25" thickBot="1">
      <c r="B32" s="59"/>
      <c r="C32" s="24" t="s">
        <v>165</v>
      </c>
      <c r="D32" s="25" t="s">
        <v>192</v>
      </c>
      <c r="E32" s="25" t="s">
        <v>224</v>
      </c>
      <c r="F32" s="25" t="s">
        <v>243</v>
      </c>
      <c r="G32" s="25">
        <v>4</v>
      </c>
      <c r="H32" s="25" t="str">
        <f t="shared" si="0"/>
        <v>중</v>
      </c>
      <c r="I32" s="25" t="s">
        <v>246</v>
      </c>
      <c r="J32" s="25" t="s">
        <v>429</v>
      </c>
      <c r="K32" s="29"/>
    </row>
  </sheetData>
  <mergeCells count="14">
    <mergeCell ref="B3:B12"/>
    <mergeCell ref="C3:C4"/>
    <mergeCell ref="C5:C6"/>
    <mergeCell ref="C7:C8"/>
    <mergeCell ref="C9:C10"/>
    <mergeCell ref="C11:C12"/>
    <mergeCell ref="B21:B27"/>
    <mergeCell ref="C21:C23"/>
    <mergeCell ref="B28:B29"/>
    <mergeCell ref="B31:B32"/>
    <mergeCell ref="B13:B20"/>
    <mergeCell ref="C13:C14"/>
    <mergeCell ref="C16:C17"/>
    <mergeCell ref="C18:C19"/>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1"/>
  <sheetViews>
    <sheetView zoomScale="70" zoomScaleNormal="70" workbookViewId="0">
      <selection activeCell="L19" sqref="L19"/>
    </sheetView>
  </sheetViews>
  <sheetFormatPr defaultRowHeight="16.5"/>
  <cols>
    <col min="3" max="3" width="18.75" style="11" bestFit="1" customWidth="1"/>
    <col min="4" max="4" width="74" style="11" customWidth="1"/>
    <col min="5" max="5" width="64.75" style="11" bestFit="1" customWidth="1"/>
    <col min="6" max="6" width="9.625" style="11" customWidth="1"/>
    <col min="7" max="7" width="46.375" style="11" bestFit="1" customWidth="1"/>
    <col min="8" max="8" width="53" customWidth="1"/>
  </cols>
  <sheetData>
    <row r="1" spans="1:8" ht="17.25" thickBot="1"/>
    <row r="2" spans="1:8" ht="34.5" customHeight="1">
      <c r="A2" s="50"/>
      <c r="B2" s="60" t="s">
        <v>419</v>
      </c>
      <c r="C2" s="61"/>
      <c r="D2" s="61"/>
      <c r="E2" s="61"/>
      <c r="F2" s="61"/>
      <c r="G2" s="62"/>
    </row>
    <row r="3" spans="1:8" ht="16.5" customHeight="1">
      <c r="A3" s="51"/>
      <c r="B3" s="63" t="s">
        <v>421</v>
      </c>
      <c r="C3" s="64"/>
      <c r="D3" s="64"/>
      <c r="E3" s="64"/>
      <c r="F3" s="64"/>
      <c r="G3" s="65"/>
    </row>
    <row r="4" spans="1:8" ht="23.25" customHeight="1">
      <c r="A4" s="49"/>
      <c r="B4" s="63"/>
      <c r="C4" s="64"/>
      <c r="D4" s="64"/>
      <c r="E4" s="64"/>
      <c r="F4" s="64"/>
      <c r="G4" s="65"/>
    </row>
    <row r="5" spans="1:8" ht="42.75" customHeight="1">
      <c r="A5" s="51"/>
      <c r="B5" s="63" t="s">
        <v>422</v>
      </c>
      <c r="C5" s="64"/>
      <c r="D5" s="64"/>
      <c r="E5" s="64"/>
      <c r="F5" s="64"/>
      <c r="G5" s="65"/>
    </row>
    <row r="6" spans="1:8" ht="20.25" thickBot="1">
      <c r="A6" s="52"/>
      <c r="B6" s="66" t="s">
        <v>420</v>
      </c>
      <c r="C6" s="67"/>
      <c r="D6" s="67"/>
      <c r="E6" s="67"/>
      <c r="F6" s="67"/>
      <c r="G6" s="68"/>
    </row>
    <row r="8" spans="1:8" ht="17.25" thickBot="1">
      <c r="B8" s="13"/>
    </row>
    <row r="9" spans="1:8">
      <c r="B9" s="30" t="s">
        <v>407</v>
      </c>
      <c r="C9" s="31" t="s">
        <v>272</v>
      </c>
      <c r="D9" s="31" t="s">
        <v>273</v>
      </c>
      <c r="E9" s="31" t="s">
        <v>274</v>
      </c>
      <c r="F9" s="31" t="s">
        <v>275</v>
      </c>
      <c r="G9" s="31" t="s">
        <v>276</v>
      </c>
      <c r="H9" s="46" t="s">
        <v>408</v>
      </c>
    </row>
    <row r="10" spans="1:8" ht="33">
      <c r="B10" s="21">
        <v>1</v>
      </c>
      <c r="C10" s="12" t="s">
        <v>278</v>
      </c>
      <c r="D10" s="32" t="s">
        <v>292</v>
      </c>
      <c r="E10" s="12" t="s">
        <v>301</v>
      </c>
      <c r="F10" s="12" t="s">
        <v>289</v>
      </c>
      <c r="G10" s="2" t="s">
        <v>302</v>
      </c>
      <c r="H10" s="39" t="s">
        <v>409</v>
      </c>
    </row>
    <row r="11" spans="1:8" ht="33">
      <c r="B11" s="21">
        <v>2</v>
      </c>
      <c r="C11" s="12" t="s">
        <v>291</v>
      </c>
      <c r="D11" s="34" t="s">
        <v>287</v>
      </c>
      <c r="E11" s="12" t="s">
        <v>288</v>
      </c>
      <c r="F11" s="12" t="s">
        <v>289</v>
      </c>
      <c r="G11" s="12" t="s">
        <v>290</v>
      </c>
      <c r="H11" s="39" t="s">
        <v>410</v>
      </c>
    </row>
    <row r="12" spans="1:8" ht="33">
      <c r="B12" s="21">
        <v>3</v>
      </c>
      <c r="C12" s="12" t="s">
        <v>279</v>
      </c>
      <c r="D12" s="32" t="s">
        <v>293</v>
      </c>
      <c r="E12" s="12" t="s">
        <v>303</v>
      </c>
      <c r="F12" s="12" t="s">
        <v>289</v>
      </c>
      <c r="G12" s="2" t="s">
        <v>304</v>
      </c>
      <c r="H12" s="39" t="s">
        <v>411</v>
      </c>
    </row>
    <row r="13" spans="1:8" ht="49.5">
      <c r="B13" s="21">
        <v>4</v>
      </c>
      <c r="C13" s="12" t="s">
        <v>280</v>
      </c>
      <c r="D13" s="32" t="s">
        <v>294</v>
      </c>
      <c r="E13" s="12" t="s">
        <v>305</v>
      </c>
      <c r="F13" s="12" t="s">
        <v>289</v>
      </c>
      <c r="G13" s="12" t="s">
        <v>306</v>
      </c>
      <c r="H13" s="39" t="s">
        <v>412</v>
      </c>
    </row>
    <row r="14" spans="1:8" ht="49.5">
      <c r="B14" s="21">
        <v>5</v>
      </c>
      <c r="C14" s="12" t="s">
        <v>281</v>
      </c>
      <c r="D14" s="32" t="s">
        <v>295</v>
      </c>
      <c r="E14" s="12" t="s">
        <v>308</v>
      </c>
      <c r="F14" s="12" t="s">
        <v>289</v>
      </c>
      <c r="G14" s="12" t="s">
        <v>307</v>
      </c>
      <c r="H14" s="39" t="s">
        <v>413</v>
      </c>
    </row>
    <row r="15" spans="1:8" ht="49.5">
      <c r="B15" s="21">
        <v>6</v>
      </c>
      <c r="C15" s="12" t="s">
        <v>282</v>
      </c>
      <c r="D15" s="32" t="s">
        <v>296</v>
      </c>
      <c r="E15" s="2" t="s">
        <v>309</v>
      </c>
      <c r="F15" s="12" t="s">
        <v>289</v>
      </c>
      <c r="G15" s="12" t="s">
        <v>310</v>
      </c>
      <c r="H15" s="39" t="s">
        <v>414</v>
      </c>
    </row>
    <row r="16" spans="1:8" ht="49.5">
      <c r="B16" s="21">
        <v>7</v>
      </c>
      <c r="C16" s="12" t="s">
        <v>283</v>
      </c>
      <c r="D16" s="32" t="s">
        <v>297</v>
      </c>
      <c r="E16" s="12" t="s">
        <v>311</v>
      </c>
      <c r="F16" s="12" t="s">
        <v>289</v>
      </c>
      <c r="G16" s="12" t="s">
        <v>312</v>
      </c>
      <c r="H16" s="22" t="s">
        <v>415</v>
      </c>
    </row>
    <row r="17" spans="2:8" ht="49.5">
      <c r="B17" s="21">
        <v>8</v>
      </c>
      <c r="C17" s="12" t="s">
        <v>284</v>
      </c>
      <c r="D17" s="47" t="s">
        <v>299</v>
      </c>
      <c r="E17" s="2" t="s">
        <v>313</v>
      </c>
      <c r="F17" s="12" t="s">
        <v>289</v>
      </c>
      <c r="G17" s="2" t="s">
        <v>314</v>
      </c>
      <c r="H17" s="22" t="s">
        <v>416</v>
      </c>
    </row>
    <row r="18" spans="2:8" ht="49.5">
      <c r="B18" s="21">
        <v>9</v>
      </c>
      <c r="C18" s="12" t="s">
        <v>285</v>
      </c>
      <c r="D18" s="32" t="s">
        <v>298</v>
      </c>
      <c r="E18" s="12" t="s">
        <v>315</v>
      </c>
      <c r="F18" s="12" t="s">
        <v>289</v>
      </c>
      <c r="G18" s="12" t="s">
        <v>267</v>
      </c>
      <c r="H18" s="22" t="s">
        <v>417</v>
      </c>
    </row>
    <row r="19" spans="2:8" ht="50.25" thickBot="1">
      <c r="B19" s="23">
        <v>10</v>
      </c>
      <c r="C19" s="25" t="s">
        <v>286</v>
      </c>
      <c r="D19" s="33" t="s">
        <v>300</v>
      </c>
      <c r="E19" s="24" t="s">
        <v>316</v>
      </c>
      <c r="F19" s="25" t="s">
        <v>289</v>
      </c>
      <c r="G19" s="24" t="s">
        <v>317</v>
      </c>
      <c r="H19" s="27" t="s">
        <v>418</v>
      </c>
    </row>
    <row r="22" spans="2:8">
      <c r="C22"/>
      <c r="D22"/>
      <c r="E22"/>
      <c r="F22"/>
      <c r="G22"/>
    </row>
    <row r="23" spans="2:8">
      <c r="C23" s="13"/>
    </row>
    <row r="24" spans="2:8">
      <c r="C24" s="13"/>
    </row>
    <row r="25" spans="2:8">
      <c r="C25" s="13"/>
    </row>
    <row r="26" spans="2:8">
      <c r="C26" s="13"/>
    </row>
    <row r="27" spans="2:8">
      <c r="C27" s="13"/>
    </row>
    <row r="28" spans="2:8">
      <c r="C28"/>
    </row>
    <row r="29" spans="2:8">
      <c r="C29"/>
    </row>
    <row r="30" spans="2:8">
      <c r="C30"/>
    </row>
    <row r="31" spans="2:8">
      <c r="C31"/>
    </row>
    <row r="32" spans="2:8">
      <c r="C32"/>
    </row>
    <row r="33" spans="2:3">
      <c r="C33"/>
    </row>
    <row r="34" spans="2:3">
      <c r="C34"/>
    </row>
    <row r="40" spans="2:3" ht="21.75">
      <c r="B40" s="48"/>
    </row>
    <row r="46" spans="2:3">
      <c r="B46" s="13"/>
    </row>
    <row r="47" spans="2:3">
      <c r="B47" s="13"/>
    </row>
    <row r="48" spans="2:3">
      <c r="B48" s="13"/>
    </row>
    <row r="49" spans="2:2">
      <c r="B49" s="13"/>
    </row>
    <row r="50" spans="2:2">
      <c r="B50" s="13"/>
    </row>
    <row r="51" spans="2:2">
      <c r="B51" s="13"/>
    </row>
  </sheetData>
  <mergeCells count="4">
    <mergeCell ref="B2:G2"/>
    <mergeCell ref="B3:G4"/>
    <mergeCell ref="B5:G5"/>
    <mergeCell ref="B6:G6"/>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3"/>
  <sheetViews>
    <sheetView topLeftCell="A4" zoomScale="70" zoomScaleNormal="70" workbookViewId="0">
      <selection activeCell="B5" sqref="B5:C5"/>
    </sheetView>
  </sheetViews>
  <sheetFormatPr defaultRowHeight="16.5"/>
  <cols>
    <col min="1" max="1" width="18.625" bestFit="1" customWidth="1"/>
    <col min="2" max="2" width="14.25" bestFit="1" customWidth="1"/>
    <col min="3" max="3" width="52.625" customWidth="1"/>
    <col min="4" max="4" width="40.25" customWidth="1"/>
    <col min="5" max="5" width="41" customWidth="1"/>
    <col min="6" max="6" width="17.125" bestFit="1" customWidth="1"/>
    <col min="7" max="7" width="48.375" customWidth="1"/>
    <col min="8" max="8" width="10" customWidth="1"/>
  </cols>
  <sheetData>
    <row r="1" spans="1:8" ht="31.5">
      <c r="A1" s="41" t="s">
        <v>343</v>
      </c>
      <c r="B1" s="41"/>
      <c r="C1" s="41"/>
      <c r="D1" s="41"/>
      <c r="E1" s="41"/>
      <c r="F1" s="41"/>
      <c r="G1" s="41"/>
      <c r="H1" s="41"/>
    </row>
    <row r="2" spans="1:8" ht="21" thickBot="1">
      <c r="A2" s="37" t="s">
        <v>341</v>
      </c>
    </row>
    <row r="3" spans="1:8" ht="115.5" customHeight="1">
      <c r="A3" s="18" t="s">
        <v>318</v>
      </c>
      <c r="B3" s="71" t="s">
        <v>319</v>
      </c>
      <c r="C3" s="72"/>
    </row>
    <row r="4" spans="1:8" ht="120" customHeight="1">
      <c r="A4" s="21" t="s">
        <v>320</v>
      </c>
      <c r="B4" s="69" t="s">
        <v>321</v>
      </c>
      <c r="C4" s="70"/>
    </row>
    <row r="5" spans="1:8" ht="213.75" customHeight="1">
      <c r="A5" s="21" t="s">
        <v>322</v>
      </c>
      <c r="B5" s="69" t="s">
        <v>323</v>
      </c>
      <c r="C5" s="70"/>
    </row>
    <row r="6" spans="1:8" ht="213.75" customHeight="1" thickBot="1">
      <c r="A6" s="23" t="s">
        <v>423</v>
      </c>
      <c r="B6" s="73" t="s">
        <v>424</v>
      </c>
      <c r="C6" s="74"/>
    </row>
    <row r="7" spans="1:8" ht="21" thickBot="1">
      <c r="A7" s="37" t="s">
        <v>342</v>
      </c>
      <c r="B7" s="36"/>
      <c r="C7" s="36"/>
      <c r="D7" s="36"/>
      <c r="E7" s="36"/>
      <c r="F7" s="36"/>
      <c r="G7" s="36"/>
    </row>
    <row r="8" spans="1:8">
      <c r="A8" s="18" t="s">
        <v>324</v>
      </c>
      <c r="B8" s="19" t="s">
        <v>325</v>
      </c>
      <c r="C8" s="19" t="s">
        <v>326</v>
      </c>
      <c r="D8" s="19" t="s">
        <v>327</v>
      </c>
      <c r="E8" s="19" t="s">
        <v>328</v>
      </c>
      <c r="F8" s="19" t="s">
        <v>329</v>
      </c>
      <c r="G8" s="20" t="s">
        <v>330</v>
      </c>
    </row>
    <row r="9" spans="1:8" ht="91.5" customHeight="1">
      <c r="A9" s="21" t="s">
        <v>331</v>
      </c>
      <c r="B9" s="12" t="s">
        <v>332</v>
      </c>
      <c r="C9" s="38" t="s">
        <v>333</v>
      </c>
      <c r="D9" s="38" t="s">
        <v>338</v>
      </c>
      <c r="E9" s="38" t="s">
        <v>339</v>
      </c>
      <c r="F9" s="15" t="s">
        <v>340</v>
      </c>
      <c r="G9" s="39" t="s">
        <v>344</v>
      </c>
    </row>
    <row r="10" spans="1:8" ht="80.25" customHeight="1">
      <c r="A10" s="21" t="s">
        <v>334</v>
      </c>
      <c r="B10" s="12" t="s">
        <v>332</v>
      </c>
      <c r="C10" s="38" t="s">
        <v>345</v>
      </c>
      <c r="D10" s="38" t="s">
        <v>346</v>
      </c>
      <c r="E10" s="38" t="s">
        <v>347</v>
      </c>
      <c r="F10" s="15" t="s">
        <v>348</v>
      </c>
      <c r="G10" s="39" t="s">
        <v>349</v>
      </c>
    </row>
    <row r="11" spans="1:8" ht="89.25" customHeight="1">
      <c r="A11" s="21" t="s">
        <v>335</v>
      </c>
      <c r="B11" s="12" t="s">
        <v>332</v>
      </c>
      <c r="C11" s="38" t="s">
        <v>350</v>
      </c>
      <c r="D11" s="38" t="s">
        <v>351</v>
      </c>
      <c r="E11" s="38" t="s">
        <v>352</v>
      </c>
      <c r="F11" s="15" t="s">
        <v>354</v>
      </c>
      <c r="G11" s="39" t="s">
        <v>353</v>
      </c>
    </row>
    <row r="12" spans="1:8" ht="87.75" customHeight="1">
      <c r="A12" s="21" t="s">
        <v>336</v>
      </c>
      <c r="B12" s="12" t="s">
        <v>332</v>
      </c>
      <c r="C12" s="38" t="s">
        <v>355</v>
      </c>
      <c r="D12" s="38" t="s">
        <v>356</v>
      </c>
      <c r="E12" s="38" t="s">
        <v>357</v>
      </c>
      <c r="F12" s="15" t="s">
        <v>358</v>
      </c>
      <c r="G12" s="39" t="s">
        <v>359</v>
      </c>
    </row>
    <row r="13" spans="1:8" ht="107.25" customHeight="1" thickBot="1">
      <c r="A13" s="23" t="s">
        <v>337</v>
      </c>
      <c r="B13" s="25" t="s">
        <v>332</v>
      </c>
      <c r="C13" s="40" t="s">
        <v>360</v>
      </c>
      <c r="D13" s="40" t="s">
        <v>361</v>
      </c>
      <c r="E13" s="40" t="s">
        <v>362</v>
      </c>
      <c r="F13" s="26" t="s">
        <v>363</v>
      </c>
      <c r="G13" s="42" t="s">
        <v>364</v>
      </c>
    </row>
  </sheetData>
  <mergeCells count="4">
    <mergeCell ref="B4:C4"/>
    <mergeCell ref="B5:C5"/>
    <mergeCell ref="B3:C3"/>
    <mergeCell ref="B6:C6"/>
  </mergeCells>
  <phoneticPr fontId="2" type="noConversion"/>
  <pageMargins left="0.7" right="0.7" top="0.75" bottom="0.75" header="0.3" footer="0.3"/>
  <pageSetup paperSize="9" scale="2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3"/>
  <sheetViews>
    <sheetView zoomScale="55" zoomScaleNormal="55" workbookViewId="0">
      <selection activeCell="C15" sqref="C15"/>
    </sheetView>
  </sheetViews>
  <sheetFormatPr defaultRowHeight="16.5"/>
  <cols>
    <col min="1" max="1" width="18.625" bestFit="1" customWidth="1"/>
    <col min="2" max="2" width="18.875" bestFit="1" customWidth="1"/>
    <col min="3" max="3" width="52.625" customWidth="1"/>
    <col min="4" max="4" width="40.25" customWidth="1"/>
    <col min="5" max="5" width="41" customWidth="1"/>
    <col min="6" max="6" width="17.125" bestFit="1" customWidth="1"/>
    <col min="7" max="7" width="48.375" customWidth="1"/>
    <col min="8" max="8" width="10" customWidth="1"/>
  </cols>
  <sheetData>
    <row r="1" spans="1:8" ht="31.5">
      <c r="A1" s="41" t="s">
        <v>343</v>
      </c>
      <c r="B1" s="41"/>
      <c r="C1" s="41"/>
      <c r="D1" s="41"/>
      <c r="E1" s="41"/>
      <c r="F1" s="41"/>
      <c r="G1" s="41"/>
      <c r="H1" s="41"/>
    </row>
    <row r="2" spans="1:8" ht="21" thickBot="1">
      <c r="A2" s="37" t="s">
        <v>341</v>
      </c>
    </row>
    <row r="3" spans="1:8" ht="115.5" customHeight="1">
      <c r="A3" s="18" t="s">
        <v>318</v>
      </c>
      <c r="B3" s="71" t="s">
        <v>365</v>
      </c>
      <c r="C3" s="72"/>
      <c r="D3" s="43"/>
      <c r="E3" s="43"/>
    </row>
    <row r="4" spans="1:8" ht="120" customHeight="1">
      <c r="A4" s="21" t="s">
        <v>320</v>
      </c>
      <c r="B4" s="69" t="s">
        <v>366</v>
      </c>
      <c r="C4" s="70"/>
      <c r="E4" s="43"/>
      <c r="F4" s="43"/>
    </row>
    <row r="5" spans="1:8" ht="213.75" customHeight="1">
      <c r="A5" s="21" t="s">
        <v>322</v>
      </c>
      <c r="B5" s="69" t="s">
        <v>367</v>
      </c>
      <c r="C5" s="70"/>
      <c r="E5" s="43"/>
      <c r="F5" s="43"/>
    </row>
    <row r="6" spans="1:8" ht="213.75" customHeight="1" thickBot="1">
      <c r="A6" s="23" t="s">
        <v>423</v>
      </c>
      <c r="B6" s="73" t="s">
        <v>425</v>
      </c>
      <c r="C6" s="74"/>
      <c r="E6" s="43"/>
      <c r="F6" s="43"/>
    </row>
    <row r="7" spans="1:8" ht="21" thickBot="1">
      <c r="A7" s="37" t="s">
        <v>342</v>
      </c>
      <c r="B7" s="36"/>
      <c r="C7" s="36"/>
      <c r="D7" s="36"/>
      <c r="E7" s="36"/>
      <c r="F7" s="36"/>
      <c r="G7" s="36"/>
    </row>
    <row r="8" spans="1:8">
      <c r="A8" s="18" t="s">
        <v>324</v>
      </c>
      <c r="B8" s="19" t="s">
        <v>325</v>
      </c>
      <c r="C8" s="19" t="s">
        <v>326</v>
      </c>
      <c r="D8" s="19" t="s">
        <v>327</v>
      </c>
      <c r="E8" s="19" t="s">
        <v>328</v>
      </c>
      <c r="F8" s="19" t="s">
        <v>329</v>
      </c>
      <c r="G8" s="20" t="s">
        <v>330</v>
      </c>
    </row>
    <row r="9" spans="1:8" ht="91.5" customHeight="1">
      <c r="A9" s="21" t="s">
        <v>331</v>
      </c>
      <c r="B9" s="12" t="s">
        <v>368</v>
      </c>
      <c r="C9" s="38" t="s">
        <v>369</v>
      </c>
      <c r="D9" s="38" t="s">
        <v>370</v>
      </c>
      <c r="E9" s="38" t="s">
        <v>373</v>
      </c>
      <c r="F9" s="12" t="s">
        <v>371</v>
      </c>
      <c r="G9" s="39" t="s">
        <v>372</v>
      </c>
    </row>
    <row r="10" spans="1:8" ht="80.25" customHeight="1">
      <c r="A10" s="21" t="s">
        <v>334</v>
      </c>
      <c r="B10" s="12" t="s">
        <v>368</v>
      </c>
      <c r="C10" s="38" t="s">
        <v>374</v>
      </c>
      <c r="D10" s="43" t="s">
        <v>375</v>
      </c>
      <c r="E10" s="38" t="s">
        <v>376</v>
      </c>
      <c r="F10" s="12" t="s">
        <v>348</v>
      </c>
      <c r="G10" s="39" t="s">
        <v>377</v>
      </c>
    </row>
    <row r="11" spans="1:8" ht="89.25" customHeight="1">
      <c r="A11" s="21" t="s">
        <v>335</v>
      </c>
      <c r="B11" s="12" t="s">
        <v>368</v>
      </c>
      <c r="C11" s="38" t="s">
        <v>378</v>
      </c>
      <c r="D11" s="38" t="s">
        <v>379</v>
      </c>
      <c r="E11" s="38" t="s">
        <v>380</v>
      </c>
      <c r="F11" s="12" t="s">
        <v>277</v>
      </c>
      <c r="G11" s="39" t="s">
        <v>381</v>
      </c>
    </row>
    <row r="12" spans="1:8" ht="87.75" customHeight="1">
      <c r="A12" s="21" t="s">
        <v>336</v>
      </c>
      <c r="B12" s="12" t="s">
        <v>382</v>
      </c>
      <c r="C12" s="38" t="s">
        <v>383</v>
      </c>
      <c r="D12" s="38" t="s">
        <v>384</v>
      </c>
      <c r="E12" s="38" t="s">
        <v>385</v>
      </c>
      <c r="F12" s="12" t="s">
        <v>277</v>
      </c>
      <c r="G12" s="39" t="s">
        <v>386</v>
      </c>
    </row>
    <row r="13" spans="1:8" ht="107.25" customHeight="1" thickBot="1">
      <c r="A13" s="23" t="s">
        <v>337</v>
      </c>
      <c r="B13" s="25" t="s">
        <v>368</v>
      </c>
      <c r="C13" s="40" t="s">
        <v>387</v>
      </c>
      <c r="D13" s="40" t="s">
        <v>388</v>
      </c>
      <c r="E13" s="40" t="s">
        <v>389</v>
      </c>
      <c r="F13" s="25" t="s">
        <v>277</v>
      </c>
      <c r="G13" s="42" t="s">
        <v>390</v>
      </c>
    </row>
  </sheetData>
  <mergeCells count="4">
    <mergeCell ref="B3:C3"/>
    <mergeCell ref="B4:C4"/>
    <mergeCell ref="B5:C5"/>
    <mergeCell ref="B6:C6"/>
  </mergeCells>
  <phoneticPr fontId="2" type="noConversion"/>
  <pageMargins left="0.7" right="0.7" top="0.75" bottom="0.75" header="0.3" footer="0.3"/>
  <pageSetup paperSize="9" scale="2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H44"/>
  <sheetViews>
    <sheetView topLeftCell="A19" zoomScaleNormal="100" workbookViewId="0">
      <selection activeCell="B26" sqref="B26:G26"/>
    </sheetView>
  </sheetViews>
  <sheetFormatPr defaultRowHeight="16.5"/>
  <cols>
    <col min="2" max="2" width="14.25" customWidth="1"/>
    <col min="3" max="3" width="16.5" bestFit="1" customWidth="1"/>
    <col min="4" max="4" width="14.375" bestFit="1" customWidth="1"/>
    <col min="5" max="5" width="22.5" customWidth="1"/>
    <col min="6" max="6" width="14" bestFit="1" customWidth="1"/>
    <col min="7" max="7" width="14.375" bestFit="1" customWidth="1"/>
  </cols>
  <sheetData>
    <row r="2" spans="2:8" ht="26.25">
      <c r="B2" s="76" t="s">
        <v>134</v>
      </c>
      <c r="C2" s="76"/>
      <c r="D2" s="76"/>
      <c r="E2" s="76"/>
      <c r="F2" s="76"/>
      <c r="G2" s="76"/>
    </row>
    <row r="4" spans="2:8">
      <c r="B4" s="79" t="s">
        <v>135</v>
      </c>
      <c r="C4" s="79"/>
      <c r="D4" s="79"/>
      <c r="E4" s="79"/>
      <c r="F4" s="79"/>
      <c r="G4" s="79"/>
    </row>
    <row r="7" spans="2:8">
      <c r="B7" s="80" t="s">
        <v>136</v>
      </c>
      <c r="C7" s="80"/>
      <c r="D7" s="80"/>
      <c r="E7" s="80"/>
      <c r="F7" s="80"/>
      <c r="G7" s="80"/>
      <c r="H7" s="10"/>
    </row>
    <row r="8" spans="2:8">
      <c r="B8" s="80"/>
      <c r="C8" s="80"/>
      <c r="D8" s="80"/>
      <c r="E8" s="80"/>
      <c r="F8" s="80"/>
      <c r="G8" s="80"/>
      <c r="H8" s="13"/>
    </row>
    <row r="9" spans="2:8">
      <c r="B9" s="80" t="s">
        <v>137</v>
      </c>
      <c r="C9" s="80"/>
      <c r="D9" s="80"/>
      <c r="E9" s="80"/>
      <c r="F9" s="80"/>
      <c r="G9" s="80"/>
      <c r="H9" s="14"/>
    </row>
    <row r="10" spans="2:8">
      <c r="B10" s="80"/>
      <c r="C10" s="80"/>
      <c r="D10" s="80"/>
      <c r="E10" s="80"/>
      <c r="F10" s="80"/>
      <c r="G10" s="80"/>
      <c r="H10" s="13"/>
    </row>
    <row r="11" spans="2:8">
      <c r="B11" s="80" t="s">
        <v>138</v>
      </c>
      <c r="C11" s="80"/>
      <c r="D11" s="80"/>
      <c r="E11" s="80"/>
      <c r="F11" s="80"/>
      <c r="G11" s="80"/>
      <c r="H11" s="14"/>
    </row>
    <row r="12" spans="2:8">
      <c r="B12" s="80"/>
      <c r="C12" s="80"/>
      <c r="D12" s="80"/>
      <c r="E12" s="80"/>
      <c r="F12" s="80"/>
      <c r="G12" s="80"/>
      <c r="H12" s="13"/>
    </row>
    <row r="13" spans="2:8">
      <c r="H13" s="14"/>
    </row>
    <row r="14" spans="2:8" ht="26.25">
      <c r="B14" s="76" t="s">
        <v>140</v>
      </c>
      <c r="C14" s="76"/>
      <c r="D14" s="76"/>
      <c r="E14" s="76"/>
      <c r="F14" s="76"/>
      <c r="G14" s="76"/>
    </row>
    <row r="15" spans="2:8">
      <c r="B15" s="13"/>
      <c r="H15" s="10"/>
    </row>
    <row r="16" spans="2:8">
      <c r="B16" s="75" t="s">
        <v>141</v>
      </c>
      <c r="C16" s="75"/>
      <c r="D16" s="75"/>
      <c r="E16" s="75"/>
      <c r="F16" s="75"/>
      <c r="G16" s="75"/>
      <c r="H16" s="13"/>
    </row>
    <row r="17" spans="2:8">
      <c r="B17" s="13"/>
      <c r="H17" s="14"/>
    </row>
    <row r="18" spans="2:8">
      <c r="B18" s="75" t="s">
        <v>142</v>
      </c>
      <c r="C18" s="75"/>
      <c r="D18" s="75"/>
      <c r="E18" s="75"/>
      <c r="F18" s="75"/>
      <c r="G18" s="75"/>
      <c r="H18" s="13"/>
    </row>
    <row r="19" spans="2:8">
      <c r="B19" s="13"/>
      <c r="H19" s="14"/>
    </row>
    <row r="20" spans="2:8">
      <c r="B20" s="75" t="s">
        <v>143</v>
      </c>
      <c r="C20" s="75"/>
      <c r="D20" s="75"/>
      <c r="E20" s="75"/>
      <c r="F20" s="75"/>
      <c r="G20" s="75"/>
      <c r="H20" s="13"/>
    </row>
    <row r="21" spans="2:8">
      <c r="H21" s="14"/>
    </row>
    <row r="22" spans="2:8" ht="26.25">
      <c r="B22" s="76" t="s">
        <v>144</v>
      </c>
      <c r="C22" s="76"/>
      <c r="D22" s="76"/>
      <c r="E22" s="76"/>
      <c r="F22" s="76"/>
      <c r="G22" s="76"/>
    </row>
    <row r="23" spans="2:8">
      <c r="B23" s="13"/>
    </row>
    <row r="24" spans="2:8">
      <c r="B24" s="75" t="s">
        <v>145</v>
      </c>
      <c r="C24" s="75"/>
      <c r="D24" s="75"/>
      <c r="E24" s="75"/>
      <c r="F24" s="75"/>
      <c r="G24" s="75"/>
    </row>
    <row r="25" spans="2:8">
      <c r="B25" s="13"/>
    </row>
    <row r="26" spans="2:8">
      <c r="B26" s="75" t="s">
        <v>248</v>
      </c>
      <c r="C26" s="75"/>
      <c r="D26" s="75"/>
      <c r="E26" s="75"/>
      <c r="F26" s="75"/>
      <c r="G26" s="75"/>
    </row>
    <row r="27" spans="2:8">
      <c r="B27" s="13"/>
    </row>
    <row r="28" spans="2:8">
      <c r="B28" s="75" t="s">
        <v>146</v>
      </c>
      <c r="C28" s="75"/>
      <c r="D28" s="75"/>
      <c r="E28" s="75"/>
      <c r="F28" s="75"/>
      <c r="G28" s="75"/>
    </row>
    <row r="30" spans="2:8" ht="24">
      <c r="B30" s="77" t="s">
        <v>147</v>
      </c>
      <c r="C30" s="78"/>
      <c r="D30" s="78"/>
      <c r="E30" s="78"/>
      <c r="F30" s="78"/>
      <c r="G30" s="78"/>
    </row>
    <row r="32" spans="2:8" ht="26.25">
      <c r="B32" s="76" t="s">
        <v>148</v>
      </c>
      <c r="C32" s="76"/>
      <c r="D32" s="76"/>
      <c r="E32" s="76"/>
      <c r="F32" s="76"/>
      <c r="G32" s="76"/>
    </row>
    <row r="34" spans="2:7">
      <c r="B34" s="44" t="s">
        <v>149</v>
      </c>
      <c r="C34" s="44">
        <v>9</v>
      </c>
      <c r="D34" s="82" t="s">
        <v>402</v>
      </c>
      <c r="E34" s="82"/>
      <c r="F34" s="82"/>
      <c r="G34" s="82"/>
    </row>
    <row r="35" spans="2:7">
      <c r="B35" s="44" t="s">
        <v>150</v>
      </c>
      <c r="C35" s="44">
        <v>6</v>
      </c>
      <c r="D35" s="82" t="s">
        <v>400</v>
      </c>
      <c r="E35" s="82"/>
      <c r="F35" s="82"/>
      <c r="G35" s="82"/>
    </row>
    <row r="36" spans="2:7">
      <c r="B36" s="44" t="s">
        <v>151</v>
      </c>
      <c r="C36" s="44" t="s">
        <v>152</v>
      </c>
      <c r="D36" s="82" t="s">
        <v>399</v>
      </c>
      <c r="E36" s="82"/>
      <c r="F36" s="82"/>
      <c r="G36" s="82"/>
    </row>
    <row r="37" spans="2:7">
      <c r="B37" s="44" t="s">
        <v>153</v>
      </c>
      <c r="C37" s="44" t="s">
        <v>154</v>
      </c>
      <c r="D37" s="82" t="s">
        <v>398</v>
      </c>
      <c r="E37" s="82"/>
      <c r="F37" s="82"/>
      <c r="G37" s="82"/>
    </row>
    <row r="40" spans="2:7" ht="26.25">
      <c r="B40" s="76" t="s">
        <v>391</v>
      </c>
      <c r="C40" s="76"/>
      <c r="D40" s="76"/>
      <c r="E40" s="76"/>
      <c r="F40" s="76"/>
      <c r="G40" s="76"/>
    </row>
    <row r="42" spans="2:7">
      <c r="B42" s="45" t="s">
        <v>395</v>
      </c>
      <c r="C42" s="45" t="s">
        <v>401</v>
      </c>
      <c r="D42" s="81" t="s">
        <v>403</v>
      </c>
      <c r="E42" s="81"/>
      <c r="F42" s="81"/>
      <c r="G42" s="81"/>
    </row>
    <row r="43" spans="2:7">
      <c r="B43" s="45" t="s">
        <v>393</v>
      </c>
      <c r="C43" s="45" t="s">
        <v>392</v>
      </c>
      <c r="D43" s="81" t="s">
        <v>396</v>
      </c>
      <c r="E43" s="81"/>
      <c r="F43" s="81"/>
      <c r="G43" s="81"/>
    </row>
    <row r="44" spans="2:7">
      <c r="B44" s="45" t="s">
        <v>394</v>
      </c>
      <c r="C44" s="45" t="s">
        <v>154</v>
      </c>
      <c r="D44" s="81" t="s">
        <v>397</v>
      </c>
      <c r="E44" s="81"/>
      <c r="F44" s="81"/>
      <c r="G44" s="81"/>
    </row>
  </sheetData>
  <mergeCells count="23">
    <mergeCell ref="B40:G40"/>
    <mergeCell ref="D43:G43"/>
    <mergeCell ref="D44:G44"/>
    <mergeCell ref="D42:G42"/>
    <mergeCell ref="D34:G34"/>
    <mergeCell ref="D35:G35"/>
    <mergeCell ref="D36:G36"/>
    <mergeCell ref="D37:G37"/>
    <mergeCell ref="B26:G26"/>
    <mergeCell ref="B28:G28"/>
    <mergeCell ref="B32:G32"/>
    <mergeCell ref="B30:G30"/>
    <mergeCell ref="B2:G2"/>
    <mergeCell ref="B4:G4"/>
    <mergeCell ref="B14:G14"/>
    <mergeCell ref="B16:G16"/>
    <mergeCell ref="B18:G18"/>
    <mergeCell ref="B20:G20"/>
    <mergeCell ref="B22:G22"/>
    <mergeCell ref="B24:G24"/>
    <mergeCell ref="B7:G8"/>
    <mergeCell ref="B9:G10"/>
    <mergeCell ref="B11:G12"/>
  </mergeCells>
  <phoneticPr fontId="2"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G16"/>
  <sheetViews>
    <sheetView workbookViewId="0"/>
  </sheetViews>
  <sheetFormatPr defaultRowHeight="16.5"/>
  <cols>
    <col min="2" max="2" width="21.375" bestFit="1" customWidth="1"/>
    <col min="3" max="3" width="17.875" bestFit="1" customWidth="1"/>
    <col min="4" max="5" width="14" bestFit="1" customWidth="1"/>
    <col min="6" max="6" width="15" bestFit="1" customWidth="1"/>
    <col min="7" max="7" width="9.625" bestFit="1" customWidth="1"/>
  </cols>
  <sheetData>
    <row r="2" spans="2:7">
      <c r="B2" s="3" t="s">
        <v>1</v>
      </c>
      <c r="C2" s="3" t="s">
        <v>91</v>
      </c>
      <c r="D2" s="3" t="s">
        <v>92</v>
      </c>
      <c r="E2" s="3" t="s">
        <v>93</v>
      </c>
      <c r="F2" s="3" t="s">
        <v>94</v>
      </c>
      <c r="G2" s="3" t="s">
        <v>95</v>
      </c>
    </row>
    <row r="3" spans="2:7">
      <c r="B3" s="83" t="s">
        <v>96</v>
      </c>
      <c r="C3" s="4" t="s">
        <v>97</v>
      </c>
      <c r="D3" s="4" t="s">
        <v>98</v>
      </c>
      <c r="E3" s="4" t="s">
        <v>99</v>
      </c>
      <c r="F3" s="4" t="s">
        <v>100</v>
      </c>
      <c r="G3" s="4"/>
    </row>
    <row r="4" spans="2:7">
      <c r="B4" s="84"/>
      <c r="C4" s="4" t="s">
        <v>101</v>
      </c>
      <c r="D4" s="4" t="s">
        <v>98</v>
      </c>
      <c r="E4" s="4" t="s">
        <v>99</v>
      </c>
      <c r="F4" s="4" t="s">
        <v>102</v>
      </c>
      <c r="G4" s="4"/>
    </row>
    <row r="5" spans="2:7">
      <c r="B5" s="84"/>
      <c r="C5" s="4" t="s">
        <v>103</v>
      </c>
      <c r="D5" s="4" t="s">
        <v>98</v>
      </c>
      <c r="E5" s="4" t="s">
        <v>99</v>
      </c>
      <c r="F5" s="4" t="s">
        <v>104</v>
      </c>
      <c r="G5" s="4"/>
    </row>
    <row r="6" spans="2:7">
      <c r="B6" s="84"/>
      <c r="C6" s="4" t="s">
        <v>105</v>
      </c>
      <c r="D6" s="4" t="s">
        <v>98</v>
      </c>
      <c r="E6" s="4" t="s">
        <v>99</v>
      </c>
      <c r="F6" s="4" t="s">
        <v>106</v>
      </c>
      <c r="G6" s="4"/>
    </row>
    <row r="7" spans="2:7">
      <c r="B7" s="84"/>
      <c r="C7" s="4" t="s">
        <v>107</v>
      </c>
      <c r="D7" s="4" t="s">
        <v>133</v>
      </c>
      <c r="E7" s="4" t="s">
        <v>109</v>
      </c>
      <c r="F7" s="4" t="s">
        <v>110</v>
      </c>
      <c r="G7" s="4" t="s">
        <v>111</v>
      </c>
    </row>
    <row r="8" spans="2:7">
      <c r="B8" s="84"/>
      <c r="C8" s="4" t="s">
        <v>112</v>
      </c>
      <c r="D8" s="4" t="s">
        <v>113</v>
      </c>
      <c r="E8" s="4" t="s">
        <v>109</v>
      </c>
      <c r="F8" s="4" t="s">
        <v>114</v>
      </c>
      <c r="G8" s="4" t="s">
        <v>115</v>
      </c>
    </row>
    <row r="9" spans="2:7">
      <c r="B9" s="85"/>
      <c r="C9" s="4" t="s">
        <v>116</v>
      </c>
      <c r="D9" s="4" t="s">
        <v>108</v>
      </c>
      <c r="E9" s="4" t="s">
        <v>109</v>
      </c>
      <c r="F9" s="4" t="s">
        <v>117</v>
      </c>
      <c r="G9" s="4" t="s">
        <v>115</v>
      </c>
    </row>
    <row r="10" spans="2:7">
      <c r="B10" s="83" t="s">
        <v>118</v>
      </c>
      <c r="C10" s="4" t="s">
        <v>119</v>
      </c>
      <c r="D10" s="4" t="s">
        <v>98</v>
      </c>
      <c r="E10" s="4" t="s">
        <v>99</v>
      </c>
      <c r="F10" s="4" t="s">
        <v>120</v>
      </c>
      <c r="G10" s="4"/>
    </row>
    <row r="11" spans="2:7">
      <c r="B11" s="84"/>
      <c r="C11" s="4" t="s">
        <v>121</v>
      </c>
      <c r="D11" s="4" t="s">
        <v>108</v>
      </c>
      <c r="E11" s="4" t="s">
        <v>109</v>
      </c>
      <c r="F11" s="4" t="s">
        <v>122</v>
      </c>
      <c r="G11" s="4" t="s">
        <v>123</v>
      </c>
    </row>
    <row r="12" spans="2:7">
      <c r="B12" s="84"/>
      <c r="C12" s="4" t="s">
        <v>101</v>
      </c>
      <c r="D12" s="4" t="s">
        <v>98</v>
      </c>
      <c r="E12" s="4" t="s">
        <v>99</v>
      </c>
      <c r="F12" s="4" t="s">
        <v>124</v>
      </c>
      <c r="G12" s="4"/>
    </row>
    <row r="13" spans="2:7">
      <c r="B13" s="84"/>
      <c r="C13" s="4" t="s">
        <v>125</v>
      </c>
      <c r="D13" s="4" t="s">
        <v>98</v>
      </c>
      <c r="E13" s="4" t="s">
        <v>99</v>
      </c>
      <c r="F13" s="4" t="s">
        <v>104</v>
      </c>
      <c r="G13" s="4"/>
    </row>
    <row r="14" spans="2:7">
      <c r="B14" s="84"/>
      <c r="C14" s="4" t="s">
        <v>126</v>
      </c>
      <c r="D14" s="4" t="s">
        <v>127</v>
      </c>
      <c r="E14" s="4" t="s">
        <v>109</v>
      </c>
      <c r="F14" s="4" t="s">
        <v>128</v>
      </c>
      <c r="G14" s="4"/>
    </row>
    <row r="15" spans="2:7">
      <c r="B15" s="84"/>
      <c r="C15" s="4" t="s">
        <v>129</v>
      </c>
      <c r="D15" s="4" t="s">
        <v>98</v>
      </c>
      <c r="E15" s="4" t="s">
        <v>99</v>
      </c>
      <c r="F15" s="4" t="s">
        <v>130</v>
      </c>
      <c r="G15" s="4"/>
    </row>
    <row r="16" spans="2:7">
      <c r="B16" s="85"/>
      <c r="C16" s="4" t="s">
        <v>131</v>
      </c>
      <c r="D16" s="4" t="s">
        <v>113</v>
      </c>
      <c r="E16" s="4" t="s">
        <v>109</v>
      </c>
      <c r="F16" s="4" t="s">
        <v>132</v>
      </c>
      <c r="G16" s="4" t="s">
        <v>115</v>
      </c>
    </row>
  </sheetData>
  <mergeCells count="2">
    <mergeCell ref="B3:B9"/>
    <mergeCell ref="B10:B16"/>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표지</vt:lpstr>
      <vt:lpstr>정보자산</vt:lpstr>
      <vt:lpstr>시스템자산</vt:lpstr>
      <vt:lpstr>단말자산</vt:lpstr>
      <vt:lpstr>외부&amp;인적자산</vt:lpstr>
      <vt:lpstr>공개정보</vt:lpstr>
      <vt:lpstr>물리자산</vt:lpstr>
      <vt:lpstr>자산별 위험식별</vt:lpstr>
      <vt:lpstr>위험처리방안</vt:lpstr>
      <vt:lpstr>ISMS-P GAP 분석보고서</vt:lpstr>
      <vt:lpstr>사고시나리오_랜섬웨어_DB중단</vt:lpstr>
      <vt:lpstr>사고시나리오_개인정보_오남용</vt:lpstr>
      <vt:lpstr>(별지)위험도 평가방법론</vt:lpstr>
      <vt:lpstr>(별지)정보자산별 개인정보 세부 항목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gisu kim</cp:lastModifiedBy>
  <dcterms:created xsi:type="dcterms:W3CDTF">2025-12-30T06:05:04Z</dcterms:created>
  <dcterms:modified xsi:type="dcterms:W3CDTF">2026-01-05T08:03:55Z</dcterms:modified>
</cp:coreProperties>
</file>